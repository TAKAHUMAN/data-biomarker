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c7eb4f6c9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c349891a4a04e6e"/>
    <x:sheet xmlns:r="http://schemas.openxmlformats.org/officeDocument/2006/relationships" name="Study_Design" sheetId="2" r:id="R99d356d2252b47ff"/>
    <x:sheet xmlns:r="http://schemas.openxmlformats.org/officeDocument/2006/relationships" name="PET_Raw_Digitized" sheetId="3" r:id="Rbd31508b93074fa8"/>
    <x:sheet xmlns:r="http://schemas.openxmlformats.org/officeDocument/2006/relationships" name="Gene_Expression" sheetId="4" r:id="R519970803d15493d"/>
    <x:sheet xmlns:r="http://schemas.openxmlformats.org/officeDocument/2006/relationships" name="Model_Mapping" sheetId="5" r:id="R318ef15e8b1b4aee"/>
    <x:sheet xmlns:r="http://schemas.openxmlformats.org/officeDocument/2006/relationships" name="Data_Gaps" sheetId="6" r:id="Rbaec62c7d25a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7A8C"/>
      </x:patternFill>
    </x:fill>
    <x:fill>
      <x:patternFill patternType="solid">
        <x:fgColor rgb="FFF4B942"/>
      </x:patternFill>
    </x:fill>
    <x:fill>
      <x:patternFill patternType="solid">
        <x:fgColor rgb="FFEAF4F4"/>
      </x:patternFill>
    </x:fill>
  </x:fills>
  <x:borders count="10">
    <x:border/>
    <x:border>
      <x:left style="thin">
        <x:color rgb="FF9FB6C1"/>
      </x:left>
      <x:top style="thin">
        <x:color rgb="FF9FB6C1"/>
      </x:top>
      <x:bottom style="thin">
        <x:color rgb="FF9FB6C1"/>
      </x:bottom>
    </x:border>
    <x:border>
      <x:right style="thin">
        <x:color rgb="FF9FB6C1"/>
      </x:right>
      <x:top style="thin">
        <x:color rgb="FF9FB6C1"/>
      </x:top>
      <x:bottom style="thin">
        <x:color rgb="FF9FB6C1"/>
      </x:bottom>
    </x:border>
    <x:border>
      <x:left style="thin">
        <x:color rgb="FF9FB6C1"/>
      </x:left>
      <x:top style="thin">
        <x:color rgb="FF9FB6C1"/>
      </x:top>
      <x:bottom style="thin">
        <x:color rgb="FFD9E2E7"/>
      </x:bottom>
    </x:border>
    <x:border>
      <x:top style="thin">
        <x:color rgb="FF9FB6C1"/>
      </x:top>
      <x:bottom style="thin">
        <x:color rgb="FFD9E2E7"/>
      </x:bottom>
    </x:border>
    <x:border>
      <x:left style="thin">
        <x:color rgb="FF9FB6C1"/>
      </x:left>
      <x:top style="thin">
        <x:color rgb="FFD9E2E7"/>
      </x:top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left style="thin">
        <x:color rgb="FF9FB6C1"/>
      </x:left>
      <x:top style="thin">
        <x:color rgb="FFD9E2E7"/>
      </x:top>
      <x:bottom style="thin">
        <x:color rgb="FF9FB6C1"/>
      </x:bottom>
    </x:border>
    <x:border>
      <x:top style="thin">
        <x:color rgb="FFD9E2E7"/>
      </x:top>
      <x:bottom style="thin">
        <x:color rgb="FF9FB6C1"/>
      </x:bottom>
    </x:border>
    <x:border>
      <x:top style="thin">
        <x:color rgb="FF9FB6C1"/>
      </x:top>
      <x:bottom style="thin">
        <x:color rgb="FF9FB6C1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top"/>
    </x:xf>
    <x:xf numFmtId="200" fontId="0" fillId="0" borderId="8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0" fontId="0" fillId="0" borderId="6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vertical="top"/>
    </x:xf>
    <x:xf numFmtId="201" fontId="0" fillId="0" borderId="8" xfId="0" applyNumberFormat="1" applyFont="1" applyFill="1" applyBorder="1" applyAlignment="1">
      <x:alignment vertical="top"/>
    </x:xf>
    <x:xf numFmtId="202" fontId="0" fillId="0" borderId="6" xfId="0" applyNumberFormat="1" applyFont="1" applyFill="1" applyBorder="1" applyAlignment="1">
      <x:alignment vertical="top"/>
    </x:xf>
    <x:xf numFmtId="202" fontId="0" fillId="0" borderId="8" xfId="0" applyNumberFormat="1" applyFont="1" applyFill="1" applyBorder="1" applyAlignment="1">
      <x:alignment vertical="top"/>
    </x:xf>
    <x:xf numFmtId="201" fontId="0" fillId="0" borderId="6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1B5E20"/>
      </x:font>
      <x:fill>
        <x:patternFill patternType="solid">
          <x:bgColor rgb="FFE8F5E9"/>
        </x:patternFill>
      </x:fill>
    </x:dxf>
    <x:dxf>
      <x:font>
        <x:color rgb="FFA64B00"/>
      </x:font>
      <x:fill>
        <x:patternFill patternType="solid">
          <x:bgColor rgb="FFFFF3E0"/>
        </x:patternFill>
      </x:fill>
    </x:dxf>
    <x:dxf>
      <x:font>
        <x:color rgb="FF8B1E1E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64caa0deb4c8c" /><Relationship Type="http://schemas.openxmlformats.org/officeDocument/2006/relationships/theme" Target="/xl/theme/theme1.xml" Id="Rbbfae51fe3b34f1f" /><Relationship Type="http://schemas.openxmlformats.org/officeDocument/2006/relationships/sharedStrings" Target="/xl/sharedStrings.xml" Id="R7b3146847134494d" /><Relationship Type="http://schemas.openxmlformats.org/officeDocument/2006/relationships/worksheet" Target="/xl/worksheets/sheet1.xml" Id="R7c349891a4a04e6e" /><Relationship Type="http://schemas.openxmlformats.org/officeDocument/2006/relationships/worksheet" Target="/xl/worksheets/sheet2.xml" Id="R99d356d2252b47ff" /><Relationship Type="http://schemas.openxmlformats.org/officeDocument/2006/relationships/worksheet" Target="/xl/worksheets/sheet3.xml" Id="Rbd31508b93074fa8" /><Relationship Type="http://schemas.openxmlformats.org/officeDocument/2006/relationships/worksheet" Target="/xl/worksheets/sheet4.xml" Id="R519970803d15493d" /><Relationship Type="http://schemas.openxmlformats.org/officeDocument/2006/relationships/worksheet" Target="/xl/worksheets/sheet5.xml" Id="R318ef15e8b1b4aee" /><Relationship Type="http://schemas.openxmlformats.org/officeDocument/2006/relationships/worksheet" Target="/xl/worksheets/sheet6.xml" Id="Rbaec62c7d25a48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2" customHeight="1">
      <x:c r="A1" s="26" t="str">
        <x:v>Cilengitide PD / QSP Biomarker Input Package</x:v>
      </x:c>
      <x:c r="B1" s="26" t="str">
        <x:v>Cilengitide PD / QSP Biomarker Input Package</x:v>
      </x:c>
      <x:c r="C1" s="26" t="str">
        <x:v>Cilengitide PD / QSP Biomarker Input Package</x:v>
      </x:c>
      <x:c r="D1" s="26" t="str">
        <x:v>Cilengitide PD / QSP Biomarker Input Package</x:v>
      </x:c>
      <x:c r="E1" s="26" t="str">
        <x:v>Cilengitide PD / QSP Biomarker Input Package</x:v>
      </x:c>
      <x:c r="F1" s="26" t="str">
        <x:v>Cilengitide PD / QSP Biomarker Input Package</x:v>
      </x:c>
      <x:c r="G1" s="26" t="str">
        <x:v>Cilengitide PD / QSP Biomarker Input Package</x:v>
      </x:c>
      <x:c r="H1" s="26" t="str">
        <x:v>Cilengitide PD / QSP Biomarker Input Package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 ht="30" customHeight="1">
      <x:c r="A3" s="18" t="str">
        <x:v>Field</x:v>
      </x:c>
      <x:c r="B3" s="19" t="str">
        <x:v>Content</x:v>
      </x:c>
      <x:c r="C3" s="27"/>
      <x:c r="D3" s="27"/>
      <x:c r="E3" s="27"/>
      <x:c r="F3" s="27"/>
      <x:c r="G3" s="27"/>
      <x:c r="H3" s="27"/>
    </x:row>
    <x:row r="4">
      <x:c r="A4" s="28" t="str">
        <x:v>Purpose</x:v>
      </x:c>
      <x:c r="B4" s="29" t="str">
        <x:v>PD-only input package for linking an independently built PK model to biomarker and disease-response modules.</x:v>
      </x:c>
      <x:c r="C4" s="27"/>
      <x:c r="D4" s="27"/>
      <x:c r="E4" s="27"/>
      <x:c r="F4" s="27"/>
      <x:c r="G4" s="27"/>
      <x:c r="H4" s="27"/>
    </x:row>
    <x:row r="5">
      <x:c r="A5" s="28" t="str">
        <x:v>Source paper</x:v>
      </x:c>
      <x:c r="B5" s="29" t="str">
        <x:v>Bretschi et al., J Cancer Res Clin Oncol (2013) 139:573-583.</x:v>
      </x:c>
      <x:c r="C5" s="27"/>
      <x:c r="D5" s="27"/>
      <x:c r="E5" s="27"/>
      <x:c r="F5" s="27"/>
      <x:c r="G5" s="27"/>
      <x:c r="H5" s="27"/>
    </x:row>
    <x:row r="6">
      <x:c r="A6" s="28" t="str">
        <x:v>DOI</x:v>
      </x:c>
      <x:c r="B6" s="29" t="str">
        <x:v>10.1007/s00432-012-1360-6</x:v>
      </x:c>
      <x:c r="C6" s="27"/>
      <x:c r="D6" s="27"/>
      <x:c r="E6" s="27"/>
      <x:c r="F6" s="27"/>
      <x:c r="G6" s="27"/>
      <x:c r="H6" s="27"/>
    </x:row>
    <x:row r="7">
      <x:c r="A7" s="28" t="str">
        <x:v>Source file</x:v>
      </x:c>
      <x:c r="B7" s="29" t="str">
        <x:v>432_2012_Article_1360(1).pdf</x:v>
      </x:c>
      <x:c r="C7" s="27"/>
      <x:c r="D7" s="27"/>
      <x:c r="E7" s="27"/>
      <x:c r="F7" s="27"/>
      <x:c r="G7" s="27"/>
      <x:c r="H7" s="27"/>
    </x:row>
    <x:row r="8">
      <x:c r="A8" s="28" t="str">
        <x:v>Model scope</x:v>
      </x:c>
      <x:c r="B8" s="29" t="str">
        <x:v>Cilengitide -&gt; alpha-v beta-3 / alpha-v beta-5 integrin inhibition -&gt; vascular, metabolic, and bone-microenvironment biomarkers.</x:v>
      </x:c>
      <x:c r="C8" s="27"/>
      <x:c r="D8" s="27"/>
      <x:c r="E8" s="27"/>
      <x:c r="F8" s="27"/>
      <x:c r="G8" s="27"/>
      <x:c r="H8" s="27"/>
    </x:row>
    <x:row r="9">
      <x:c r="A9" s="28" t="str">
        <x:v>Best quantitative data</x:v>
      </x:c>
      <x:c r="B9" s="29" t="str">
        <x:v>Dynamic 18F-FDG PET parameters at days 30, 35 and 55; terminal day-55 log2 gene-expression changes.</x:v>
      </x:c>
      <x:c r="C9" s="27"/>
      <x:c r="D9" s="27"/>
      <x:c r="E9" s="27"/>
      <x:c r="F9" s="27"/>
      <x:c r="G9" s="27"/>
      <x:c r="H9" s="27"/>
    </x:row>
    <x:row r="10">
      <x:c r="A10" s="28" t="str">
        <x:v>Key limitation</x:v>
      </x:c>
      <x:c r="B10" s="29" t="str">
        <x:v>No drug concentration, target occupancy, proximal phosphoprotein time course, or longitudinal tumor-burden series in this paper.</x:v>
      </x:c>
      <x:c r="C10" s="27"/>
      <x:c r="D10" s="27"/>
      <x:c r="E10" s="27"/>
      <x:c r="F10" s="27"/>
      <x:c r="G10" s="27"/>
      <x:c r="H10" s="27"/>
    </x:row>
    <x:row r="11">
      <x:c r="A11" s="28" t="str">
        <x:v>Digitization convention</x:v>
      </x:c>
      <x:c r="B11" s="29" t="str">
        <x:v>PET bar heights and SE are approximate visual estimates from Fig. 2; panel-specific rows are retained and not averaged.</x:v>
      </x:c>
      <x:c r="C11" s="27"/>
      <x:c r="D11" s="27"/>
      <x:c r="E11" s="27"/>
      <x:c r="F11" s="27"/>
      <x:c r="G11" s="27"/>
      <x:c r="H11" s="27"/>
    </x:row>
    <x:row r="12">
      <x:c r="A12" s="30" t="str">
        <x:v>Gene convention</x:v>
      </x:c>
      <x:c r="B12" s="31" t="str">
        <x:v>Table 1 values are reported log2 treated-versus-control changes. Fold change and percent change are calculated in-sheet.</x:v>
      </x:c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32" t="str">
        <x:v>Recommended model flow</x:v>
      </x:c>
      <x:c r="B14" s="27" t="str"/>
      <x:c r="C14" s="27" t="str"/>
      <x:c r="D14" s="27" t="str"/>
      <x:c r="E14" s="27" t="str"/>
      <x:c r="F14" s="27" t="str"/>
      <x:c r="G14" s="27" t="str"/>
      <x:c r="H14" s="27" t="str"/>
    </x:row>
    <x:row r="15">
      <x:c r="A15" s="27" t="str">
        <x:v>1</x:v>
      </x:c>
      <x:c r="B15" s="27" t="str">
        <x:v>External PK concentration</x:v>
      </x:c>
      <x:c r="C15" s="27" t="str">
        <x:v>-&gt;</x:v>
      </x:c>
      <x:c r="D15" s="27" t="str">
        <x:v>Target inhibition / RO</x:v>
      </x:c>
      <x:c r="E15" s="27" t="str">
        <x:v>-&gt;</x:v>
      </x:c>
      <x:c r="F15" s="27" t="str">
        <x:v>Biomarker turnover</x:v>
      </x:c>
      <x:c r="G15" s="27" t="str">
        <x:v>-&gt;</x:v>
      </x:c>
      <x:c r="H15" s="27" t="str">
        <x:v>Tumor / bone outcome</x:v>
      </x:c>
    </x:row>
    <x:row r="16">
      <x:c r="A16" s="27" t="str"/>
      <x:c r="B16" s="27" t="str"/>
      <x:c r="C16" s="27" t="str"/>
      <x:c r="D16" s="27" t="str">
        <x:v>alpha-v beta-3 / alpha-v beta-5</x:v>
      </x:c>
      <x:c r="E16" s="27" t="str"/>
      <x:c r="F16" s="27" t="str">
        <x:v>VB, k1, metabolic state; RANKL/PTHrP</x:v>
      </x:c>
      <x:c r="G16" s="27" t="str"/>
      <x:c r="H16" s="27" t="str">
        <x:v>Requires companion outcome data</x:v>
      </x:c>
    </x:row>
    <x:row r="17">
      <x:c r="A17" s="32" t="str">
        <x:v>Evidence classes</x:v>
      </x:c>
      <x:c r="B17" s="27" t="str"/>
      <x:c r="C17" s="27" t="str"/>
      <x:c r="D17" s="27" t="str"/>
      <x:c r="E17" s="27" t="str"/>
      <x:c r="F17" s="27" t="str"/>
      <x:c r="G17" s="27" t="str"/>
      <x:c r="H17" s="27" t="str"/>
    </x:row>
    <x:row r="18">
      <x:c r="A18" s="27" t="str">
        <x:v>Reported</x:v>
      </x:c>
      <x:c r="B18" s="27" t="str">
        <x:v>Directly printed in text or table</x:v>
      </x:c>
      <x:c r="C18" s="27" t="str"/>
      <x:c r="D18" s="27" t="str">
        <x:v>Digitized</x:v>
      </x:c>
      <x:c r="E18" s="27" t="str">
        <x:v>Estimated from plotted bars</x:v>
      </x:c>
      <x:c r="F18" s="27" t="str"/>
      <x:c r="G18" s="27" t="str">
        <x:v>Derived</x:v>
      </x:c>
      <x:c r="H18" s="27" t="str">
        <x:v>Formula-calculated from reported values</x:v>
      </x:c>
    </x:row>
    <x:row r="19">
      <x:c r="A19" s="27" t="str">
        <x:v>Do not infer</x:v>
      </x:c>
      <x:c r="B19" s="27" t="str">
        <x:v>A p-value is not an effect size; mRNA fold change is not a protein concentration or kinetic rate.</x:v>
      </x:c>
      <x:c r="C19" s="27" t="str"/>
      <x:c r="D19" s="27" t="str"/>
      <x:c r="E19" s="27" t="str"/>
      <x:c r="F19" s="27" t="str"/>
      <x:c r="G19" s="27" t="str"/>
      <x:c r="H19" s="27" t="str"/>
    </x:row>
    <x:row r="20">
      <x:c r="A20" s="27"/>
      <x:c r="B20" s="27"/>
      <x:c r="C20" s="27"/>
      <x:c r="D20" s="27"/>
      <x:c r="E20" s="27"/>
      <x:c r="F20" s="27"/>
      <x:c r="G20" s="27"/>
      <x:c r="H20" s="27"/>
    </x:row>
  </x:sheetData>
  <x:mergeCells>
    <x:mergeCell ref="A1:H1"/>
    <x:mergeCell ref="A14:H14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0" hidden="0" customWidth="1"/>
    <x:col min="4" max="4" width="16" hidden="0" customWidth="1"/>
    <x:col min="5" max="5" width="24" hidden="0" customWidth="1"/>
    <x:col min="6" max="6" width="20" hidden="0" customWidth="1"/>
    <x:col min="7" max="7" width="15" hidden="0" customWidth="1"/>
    <x:col min="8" max="8" width="28" hidden="0" customWidth="1"/>
    <x:col min="9" max="9" width="38" hidden="0" customWidth="1"/>
  </x:cols>
  <x:sheetData>
    <x:row r="1" ht="30" customHeight="1">
      <x:c r="A1" s="18" t="str">
        <x:v>Domain</x:v>
      </x:c>
      <x:c r="B1" s="19" t="str">
        <x:v>Variable</x:v>
      </x:c>
      <x:c r="C1" s="19" t="str">
        <x:v>Value</x:v>
      </x:c>
      <x:c r="D1" s="19" t="str">
        <x:v>Unit</x:v>
      </x:c>
      <x:c r="E1" s="19" t="str">
        <x:v>Time / schedule</x:v>
      </x:c>
      <x:c r="F1" s="19" t="str">
        <x:v>N</x:v>
      </x:c>
      <x:c r="G1" s="19" t="str">
        <x:v>Evidence</x:v>
      </x:c>
      <x:c r="H1" s="19" t="str">
        <x:v>Source location</x:v>
      </x:c>
      <x:c r="I1" s="19" t="str">
        <x:v>Modelling note</x:v>
      </x:c>
    </x:row>
    <x:row r="2">
      <x:c r="A2" s="28" t="str">
        <x:v>Disease model</x:v>
      </x:c>
      <x:c r="B2" s="29" t="str">
        <x:v>Cell line</x:v>
      </x:c>
      <x:c r="C2" s="29" t="str">
        <x:v>MDA-MB-231</x:v>
      </x:c>
      <x:c r="D2" s="29" t="str"/>
      <x:c r="E2" s="29" t="str">
        <x:v>Tumor-cell inoculation day 0</x:v>
      </x:c>
      <x:c r="F2" s="29" t="str"/>
      <x:c r="G2" s="29" t="str">
        <x:v>Reported</x:v>
      </x:c>
      <x:c r="H2" s="29" t="str">
        <x:v>Methods: Cell lines / Animal model</x:v>
      </x:c>
      <x:c r="I2" s="29" t="str">
        <x:v>Human estrogen-independent breast cancer cells</x:v>
      </x:c>
    </x:row>
    <x:row r="3">
      <x:c r="A3" s="28" t="str">
        <x:v>Animal</x:v>
      </x:c>
      <x:c r="B3" s="29" t="str">
        <x:v>Species/strain</x:v>
      </x:c>
      <x:c r="C3" s="29" t="str">
        <x:v>Nude rat, RNU</x:v>
      </x:c>
      <x:c r="D3" s="29" t="str"/>
      <x:c r="E3" s="29" t="str">
        <x:v>Age 6 weeks at study start</x:v>
      </x:c>
      <x:c r="F3" s="29" t="str">
        <x:v>20 inoculated</x:v>
      </x:c>
      <x:c r="G3" s="29" t="str">
        <x:v>Reported</x:v>
      </x:c>
      <x:c r="H3" s="29" t="str">
        <x:v>Methods: Animal model</x:v>
      </x:c>
      <x:c r="I3" s="29" t="str">
        <x:v>Xenograft host</x:v>
      </x:c>
    </x:row>
    <x:row r="4">
      <x:c r="A4" s="28" t="str">
        <x:v>Metastasis</x:v>
      </x:c>
      <x:c r="B4" s="29" t="str">
        <x:v>Anatomical sites</x:v>
      </x:c>
      <x:c r="C4" s="29" t="str">
        <x:v>Femur, tibia, fibula; right hind leg</x:v>
      </x:c>
      <x:c r="D4" s="29" t="str"/>
      <x:c r="E4" s="29" t="str">
        <x:v>Observed after inoculation</x:v>
      </x:c>
      <x:c r="F4" s="29" t="str"/>
      <x:c r="G4" s="29" t="str">
        <x:v>Reported</x:v>
      </x:c>
      <x:c r="H4" s="29" t="str">
        <x:v>Methods: Animal model</x:v>
      </x:c>
      <x:c r="I4" s="29" t="str">
        <x:v>Bone-metastatic lesions</x:v>
      </x:c>
    </x:row>
    <x:row r="5">
      <x:c r="A5" s="28" t="str">
        <x:v>Treatment</x:v>
      </x:c>
      <x:c r="B5" s="29" t="str">
        <x:v>Drug</x:v>
      </x:c>
      <x:c r="C5" s="29" t="str">
        <x:v>Cilengitide (EMD 121974)</x:v>
      </x:c>
      <x:c r="D5" s="29" t="str"/>
      <x:c r="E5" s="29" t="str">
        <x:v>Days 30-55</x:v>
      </x:c>
      <x:c r="F5" s="29" t="str"/>
      <x:c r="G5" s="29" t="str">
        <x:v>Reported</x:v>
      </x:c>
      <x:c r="H5" s="29" t="str">
        <x:v>Methods: Study groups</x:v>
      </x:c>
      <x:c r="I5" s="29" t="str">
        <x:v>Cyclic RGD peptide</x:v>
      </x:c>
    </x:row>
    <x:row r="6">
      <x:c r="A6" s="28" t="str">
        <x:v>Treatment</x:v>
      </x:c>
      <x:c r="B6" s="29" t="str">
        <x:v>Dose</x:v>
      </x:c>
      <x:c r="C6" s="29" t="n">
        <x:v>25</x:v>
      </x:c>
      <x:c r="D6" s="29" t="str">
        <x:v>mg/kg</x:v>
      </x:c>
      <x:c r="E6" s="29" t="str">
        <x:v>5 times/week</x:v>
      </x:c>
      <x:c r="F6" s="29" t="str">
        <x:v>8 assigned</x:v>
      </x:c>
      <x:c r="G6" s="29" t="str">
        <x:v>Reported</x:v>
      </x:c>
      <x:c r="H6" s="29" t="str">
        <x:v>Methods: Study groups</x:v>
      </x:c>
      <x:c r="I6" s="29" t="str">
        <x:v>Intraperitoneal in isotonic saline</x:v>
      </x:c>
    </x:row>
    <x:row r="7">
      <x:c r="A7" s="28" t="str">
        <x:v>Comparator</x:v>
      </x:c>
      <x:c r="B7" s="29" t="str">
        <x:v>Control</x:v>
      </x:c>
      <x:c r="C7" s="29" t="str">
        <x:v>Sham-treated</x:v>
      </x:c>
      <x:c r="D7" s="29" t="str"/>
      <x:c r="E7" s="29" t="str">
        <x:v>Days 30-55</x:v>
      </x:c>
      <x:c r="F7" s="29" t="str">
        <x:v>8 assigned</x:v>
      </x:c>
      <x:c r="G7" s="29" t="str">
        <x:v>Reported</x:v>
      </x:c>
      <x:c r="H7" s="29" t="str">
        <x:v>Methods: Study groups</x:v>
      </x:c>
      <x:c r="I7" s="29" t="str">
        <x:v>No active drug</x:v>
      </x:c>
    </x:row>
    <x:row r="8">
      <x:c r="A8" s="28" t="str">
        <x:v>PET</x:v>
      </x:c>
      <x:c r="B8" s="29" t="str">
        <x:v>Tracer dose</x:v>
      </x:c>
      <x:c r="C8" s="29" t="str">
        <x:v>1.80-5.67</x:v>
      </x:c>
      <x:c r="D8" s="29" t="str">
        <x:v>MBq 18F-FDG</x:v>
      </x:c>
      <x:c r="E8" s="29" t="str">
        <x:v>Dynamic 60-min acquisition</x:v>
      </x:c>
      <x:c r="F8" s="29" t="str"/>
      <x:c r="G8" s="29" t="str">
        <x:v>Reported</x:v>
      </x:c>
      <x:c r="H8" s="29" t="str">
        <x:v>Methods: PET</x:v>
      </x:c>
      <x:c r="I8" s="29" t="str">
        <x:v>IV tracer; fasted at least 4 h</x:v>
      </x:c>
    </x:row>
    <x:row r="9">
      <x:c r="A9" s="28" t="str">
        <x:v>PET</x:v>
      </x:c>
      <x:c r="B9" s="29" t="str">
        <x:v>Frames</x:v>
      </x:c>
      <x:c r="C9" s="29" t="str">
        <x:v>10x30 s; 5x60 s; 5x120 s; 8x300 s</x:v>
      </x:c>
      <x:c r="D9" s="29" t="str"/>
      <x:c r="E9" s="29" t="str">
        <x:v>Days 30, 35, 55</x:v>
      </x:c>
      <x:c r="F9" s="29" t="str"/>
      <x:c r="G9" s="29" t="str">
        <x:v>Reported</x:v>
      </x:c>
      <x:c r="H9" s="29" t="str">
        <x:v>Methods: PET</x:v>
      </x:c>
      <x:c r="I9" s="29" t="str">
        <x:v>28 frames total</x:v>
      </x:c>
    </x:row>
    <x:row r="10">
      <x:c r="A10" s="28" t="str">
        <x:v>PET</x:v>
      </x:c>
      <x:c r="B10" s="29" t="str">
        <x:v>Day 30 sample size</x:v>
      </x:c>
      <x:c r="C10" s="29" t="str"/>
      <x:c r="D10" s="29" t="str">
        <x:v>animals</x:v>
      </x:c>
      <x:c r="E10" s="29" t="str">
        <x:v>Pretreatment</x:v>
      </x:c>
      <x:c r="F10" s="29" t="str">
        <x:v>8 treated; 8 control</x:v>
      </x:c>
      <x:c r="G10" s="29" t="str">
        <x:v>Reported</x:v>
      </x:c>
      <x:c r="H10" s="29" t="str">
        <x:v>Methods: Study groups</x:v>
      </x:c>
      <x:c r="I10" s="29" t="str">
        <x:v>Baseline imaging</x:v>
      </x:c>
    </x:row>
    <x:row r="11">
      <x:c r="A11" s="28" t="str">
        <x:v>PET</x:v>
      </x:c>
      <x:c r="B11" s="29" t="str">
        <x:v>Day 35 sample size</x:v>
      </x:c>
      <x:c r="C11" s="29" t="str"/>
      <x:c r="D11" s="29" t="str">
        <x:v>animals</x:v>
      </x:c>
      <x:c r="E11" s="29" t="str">
        <x:v>After ~5 treatment days</x:v>
      </x:c>
      <x:c r="F11" s="29" t="str">
        <x:v>6 treated; 7 control</x:v>
      </x:c>
      <x:c r="G11" s="29" t="str">
        <x:v>Reported</x:v>
      </x:c>
      <x:c r="H11" s="29" t="str">
        <x:v>Methods: Study groups</x:v>
      </x:c>
      <x:c r="I11" s="29" t="str">
        <x:v>Three imaging deaths: 2 treated, 1 control</x:v>
      </x:c>
    </x:row>
    <x:row r="12">
      <x:c r="A12" s="28" t="str">
        <x:v>PET</x:v>
      </x:c>
      <x:c r="B12" s="29" t="str">
        <x:v>Day 55 sample size</x:v>
      </x:c>
      <x:c r="C12" s="29" t="str"/>
      <x:c r="D12" s="29" t="str">
        <x:v>animals</x:v>
      </x:c>
      <x:c r="E12" s="29" t="str">
        <x:v>End of treatment</x:v>
      </x:c>
      <x:c r="F12" s="29" t="str">
        <x:v>6 treated; 4 control</x:v>
      </x:c>
      <x:c r="G12" s="29" t="str">
        <x:v>Reported</x:v>
      </x:c>
      <x:c r="H12" s="29" t="str">
        <x:v>Methods: Study groups</x:v>
      </x:c>
      <x:c r="I12" s="29" t="str">
        <x:v>Three controls killed at day 45 for ethical reasons</x:v>
      </x:c>
    </x:row>
    <x:row r="13">
      <x:c r="A13" s="28" t="str">
        <x:v>Transcriptomics</x:v>
      </x:c>
      <x:c r="B13" s="29" t="str">
        <x:v>Samples</x:v>
      </x:c>
      <x:c r="C13" s="29" t="str"/>
      <x:c r="D13" s="29" t="str">
        <x:v>animals</x:v>
      </x:c>
      <x:c r="E13" s="29" t="str">
        <x:v>Day 55</x:v>
      </x:c>
      <x:c r="F13" s="29" t="str">
        <x:v>5 treated; 3 control</x:v>
      </x:c>
      <x:c r="G13" s="29" t="str">
        <x:v>Reported</x:v>
      </x:c>
      <x:c r="H13" s="29" t="str">
        <x:v>Gene expression: RNA extraction</x:v>
      </x:c>
      <x:c r="I13" s="29" t="str">
        <x:v>HumanHT-12 v4; raw values log2 transformed</x:v>
      </x:c>
    </x:row>
    <x:row r="14">
      <x:c r="A14" s="28" t="str">
        <x:v>Statistics</x:v>
      </x:c>
      <x:c r="B14" s="29" t="str">
        <x:v>Gene selection</x:v>
      </x:c>
      <x:c r="C14" s="29" t="str">
        <x:v>Top 500 genes with p&lt;0.01</x:v>
      </x:c>
      <x:c r="D14" s="29" t="str"/>
      <x:c r="E14" s="29" t="str">
        <x:v>Day 55</x:v>
      </x:c>
      <x:c r="F14" s="29" t="str"/>
      <x:c r="G14" s="29" t="str">
        <x:v>Reported</x:v>
      </x:c>
      <x:c r="H14" s="29" t="str">
        <x:v>Gene expression analysis</x:v>
      </x:c>
      <x:c r="I14" s="29" t="str">
        <x:v>Table 1 is an incomplete biologically selected list</x:v>
      </x:c>
    </x:row>
    <x:row r="15">
      <x:c r="A15" s="30" t="str">
        <x:v>Statistics</x:v>
      </x:c>
      <x:c r="B15" s="31" t="str">
        <x:v>PET comparison</x:v>
      </x:c>
      <x:c r="C15" s="31" t="str">
        <x:v>Two-sided Wilcoxon test</x:v>
      </x:c>
      <x:c r="D15" s="31" t="str"/>
      <x:c r="E15" s="31" t="str">
        <x:v>Across times and groups</x:v>
      </x:c>
      <x:c r="F15" s="31" t="str"/>
      <x:c r="G15" s="31" t="str">
        <x:v>Reported</x:v>
      </x:c>
      <x:c r="H15" s="31" t="str">
        <x:v>Statistical analysis</x:v>
      </x:c>
      <x:c r="I15" s="31" t="str">
        <x:v>p&lt;=0.05 considered significant</x:v>
      </x:c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22" hidden="0" customWidth="1"/>
    <x:col min="9" max="9" width="19" hidden="0" customWidth="1"/>
    <x:col min="10" max="10" width="22" hidden="0" customWidth="1"/>
    <x:col min="11" max="11" width="14" hidden="0" customWidth="1"/>
    <x:col min="12" max="12" width="44" hidden="0" customWidth="1"/>
  </x:cols>
  <x:sheetData>
    <x:row r="1" ht="30" customHeight="1">
      <x:c r="A1" s="18" t="str">
        <x:v>Panel</x:v>
      </x:c>
      <x:c r="B1" s="19" t="str">
        <x:v>Group</x:v>
      </x:c>
      <x:c r="C1" s="19" t="str">
        <x:v>Comparison</x:v>
      </x:c>
      <x:c r="D1" s="19" t="str">
        <x:v>Study day</x:v>
      </x:c>
      <x:c r="E1" s="19" t="str">
        <x:v>Parameter</x:v>
      </x:c>
      <x:c r="F1" s="19" t="str">
        <x:v>Mean estimate</x:v>
      </x:c>
      <x:c r="G1" s="19" t="str">
        <x:v>SE estimate</x:v>
      </x:c>
      <x:c r="H1" s="19" t="str">
        <x:v>Unit</x:v>
      </x:c>
      <x:c r="I1" s="19" t="str">
        <x:v>Significance mark in panel</x:v>
      </x:c>
      <x:c r="J1" s="19" t="str">
        <x:v>Evidence</x:v>
      </x:c>
      <x:c r="K1" s="19" t="str">
        <x:v>Source</x:v>
      </x:c>
      <x:c r="L1" s="19" t="str">
        <x:v>QC / interpretation</x:v>
      </x:c>
    </x:row>
    <x:row r="2">
      <x:c r="A2" s="28" t="str">
        <x:v>2a</x:v>
      </x:c>
      <x:c r="B2" s="29" t="str">
        <x:v>Treated</x:v>
      </x:c>
      <x:c r="C2" s="29" t="str">
        <x:v>Day 30 vs 35</x:v>
      </x:c>
      <x:c r="D2" s="29" t="n">
        <x:v>30</x:v>
      </x:c>
      <x:c r="E2" s="29" t="str">
        <x:v>VB</x:v>
      </x:c>
      <x:c r="F2" s="39" t="n">
        <x:v>0.1</x:v>
      </x:c>
      <x:c r="G2" s="39" t="n">
        <x:v>0.025</x:v>
      </x:c>
      <x:c r="H2" s="29" t="str">
        <x:v>mL blood/mL tissue</x:v>
      </x:c>
      <x:c r="I2" s="29" t="str">
        <x:v>*</x:v>
      </x:c>
      <x:c r="J2" s="50" t="str">
        <x:v>Digitized - approximate</x:v>
      </x:c>
      <x:c r="K2" s="29" t="str">
        <x:v>Figure 2</x:v>
      </x:c>
      <x:c r="L2" s="29" t="str">
        <x:v>Bar and error-bar estimate; use source image for final high-precision redigitization</x:v>
      </x:c>
    </x:row>
    <x:row r="3">
      <x:c r="A3" s="28" t="str">
        <x:v>2a</x:v>
      </x:c>
      <x:c r="B3" s="29" t="str">
        <x:v>Treated</x:v>
      </x:c>
      <x:c r="C3" s="29" t="str">
        <x:v>Day 30 vs 35</x:v>
      </x:c>
      <x:c r="D3" s="29" t="n">
        <x:v>35</x:v>
      </x:c>
      <x:c r="E3" s="29" t="str">
        <x:v>VB</x:v>
      </x:c>
      <x:c r="F3" s="39" t="n">
        <x:v>0.085</x:v>
      </x:c>
      <x:c r="G3" s="39" t="n">
        <x:v>0.015</x:v>
      </x:c>
      <x:c r="H3" s="29" t="str">
        <x:v>mL blood/mL tissue</x:v>
      </x:c>
      <x:c r="I3" s="29" t="str">
        <x:v>*</x:v>
      </x:c>
      <x:c r="J3" s="50" t="str">
        <x:v>Digitized - approximate</x:v>
      </x:c>
      <x:c r="K3" s="29" t="str">
        <x:v>Figure 2</x:v>
      </x:c>
      <x:c r="L3" s="29" t="str">
        <x:v>Bar and error-bar estimate; use source image for final high-precision redigitization</x:v>
      </x:c>
    </x:row>
    <x:row r="4">
      <x:c r="A4" s="28" t="str">
        <x:v>2a</x:v>
      </x:c>
      <x:c r="B4" s="29" t="str">
        <x:v>Treated</x:v>
      </x:c>
      <x:c r="C4" s="29" t="str">
        <x:v>Day 30 vs 35</x:v>
      </x:c>
      <x:c r="D4" s="29" t="n">
        <x:v>30</x:v>
      </x:c>
      <x:c r="E4" s="29" t="str">
        <x:v>k1</x:v>
      </x:c>
      <x:c r="F4" s="39" t="n">
        <x:v>0.305</x:v>
      </x:c>
      <x:c r="G4" s="39" t="n">
        <x:v>0.015</x:v>
      </x:c>
      <x:c r="H4" s="29" t="str">
        <x:v>mL/mL tissue/min</x:v>
      </x:c>
      <x:c r="I4" s="29" t="str"/>
      <x:c r="J4" s="50" t="str">
        <x:v>Digitized - approximate</x:v>
      </x:c>
      <x:c r="K4" s="29" t="str">
        <x:v>Figure 2</x:v>
      </x:c>
      <x:c r="L4" s="29" t="str">
        <x:v>Bar and error-bar estimate; use source image for final high-precision redigitization</x:v>
      </x:c>
    </x:row>
    <x:row r="5">
      <x:c r="A5" s="28" t="str">
        <x:v>2a</x:v>
      </x:c>
      <x:c r="B5" s="29" t="str">
        <x:v>Treated</x:v>
      </x:c>
      <x:c r="C5" s="29" t="str">
        <x:v>Day 30 vs 35</x:v>
      </x:c>
      <x:c r="D5" s="29" t="n">
        <x:v>35</x:v>
      </x:c>
      <x:c r="E5" s="29" t="str">
        <x:v>k1</x:v>
      </x:c>
      <x:c r="F5" s="39" t="n">
        <x:v>0.37</x:v>
      </x:c>
      <x:c r="G5" s="39" t="n">
        <x:v>0.03</x:v>
      </x:c>
      <x:c r="H5" s="29" t="str">
        <x:v>mL/mL tissue/min</x:v>
      </x:c>
      <x:c r="I5" s="29" t="str"/>
      <x:c r="J5" s="50" t="str">
        <x:v>Digitized - approximate</x:v>
      </x:c>
      <x:c r="K5" s="29" t="str">
        <x:v>Figure 2</x:v>
      </x:c>
      <x:c r="L5" s="29" t="str">
        <x:v>Bar and error-bar estimate; use source image for final high-precision redigitization</x:v>
      </x:c>
    </x:row>
    <x:row r="6">
      <x:c r="A6" s="28" t="str">
        <x:v>2a</x:v>
      </x:c>
      <x:c r="B6" s="29" t="str">
        <x:v>Treated</x:v>
      </x:c>
      <x:c r="C6" s="29" t="str">
        <x:v>Day 30 vs 35</x:v>
      </x:c>
      <x:c r="D6" s="29" t="n">
        <x:v>30</x:v>
      </x:c>
      <x:c r="E6" s="29" t="str">
        <x:v>k2</x:v>
      </x:c>
      <x:c r="F6" s="39" t="n">
        <x:v>0.52</x:v>
      </x:c>
      <x:c r="G6" s="39" t="n">
        <x:v>0.035</x:v>
      </x:c>
      <x:c r="H6" s="29" t="str">
        <x:v>1/min</x:v>
      </x:c>
      <x:c r="I6" s="29" t="str"/>
      <x:c r="J6" s="50" t="str">
        <x:v>Digitized - approximate</x:v>
      </x:c>
      <x:c r="K6" s="29" t="str">
        <x:v>Figure 2</x:v>
      </x:c>
      <x:c r="L6" s="29" t="str">
        <x:v>Bar and error-bar estimate; use source image for final high-precision redigitization</x:v>
      </x:c>
    </x:row>
    <x:row r="7">
      <x:c r="A7" s="28" t="str">
        <x:v>2a</x:v>
      </x:c>
      <x:c r="B7" s="29" t="str">
        <x:v>Treated</x:v>
      </x:c>
      <x:c r="C7" s="29" t="str">
        <x:v>Day 30 vs 35</x:v>
      </x:c>
      <x:c r="D7" s="29" t="n">
        <x:v>35</x:v>
      </x:c>
      <x:c r="E7" s="29" t="str">
        <x:v>k2</x:v>
      </x:c>
      <x:c r="F7" s="39" t="n">
        <x:v>0.575</x:v>
      </x:c>
      <x:c r="G7" s="39" t="n">
        <x:v>0.04</x:v>
      </x:c>
      <x:c r="H7" s="29" t="str">
        <x:v>1/min</x:v>
      </x:c>
      <x:c r="I7" s="29" t="str"/>
      <x:c r="J7" s="50" t="str">
        <x:v>Digitized - approximate</x:v>
      </x:c>
      <x:c r="K7" s="29" t="str">
        <x:v>Figure 2</x:v>
      </x:c>
      <x:c r="L7" s="29" t="str">
        <x:v>Bar and error-bar estimate; use source image for final high-precision redigitization</x:v>
      </x:c>
    </x:row>
    <x:row r="8">
      <x:c r="A8" s="28" t="str">
        <x:v>2a</x:v>
      </x:c>
      <x:c r="B8" s="29" t="str">
        <x:v>Treated</x:v>
      </x:c>
      <x:c r="C8" s="29" t="str">
        <x:v>Day 30 vs 35</x:v>
      </x:c>
      <x:c r="D8" s="29" t="n">
        <x:v>30</x:v>
      </x:c>
      <x:c r="E8" s="29" t="str">
        <x:v>k3</x:v>
      </x:c>
      <x:c r="F8" s="39" t="n">
        <x:v>0.115</x:v>
      </x:c>
      <x:c r="G8" s="39" t="n">
        <x:v>0.006</x:v>
      </x:c>
      <x:c r="H8" s="29" t="str">
        <x:v>1/min</x:v>
      </x:c>
      <x:c r="I8" s="29" t="str"/>
      <x:c r="J8" s="50" t="str">
        <x:v>Digitized - approximate</x:v>
      </x:c>
      <x:c r="K8" s="29" t="str">
        <x:v>Figure 2</x:v>
      </x:c>
      <x:c r="L8" s="29" t="str">
        <x:v>Bar and error-bar estimate; use source image for final high-precision redigitization</x:v>
      </x:c>
    </x:row>
    <x:row r="9">
      <x:c r="A9" s="28" t="str">
        <x:v>2a</x:v>
      </x:c>
      <x:c r="B9" s="29" t="str">
        <x:v>Treated</x:v>
      </x:c>
      <x:c r="C9" s="29" t="str">
        <x:v>Day 30 vs 35</x:v>
      </x:c>
      <x:c r="D9" s="29" t="n">
        <x:v>35</x:v>
      </x:c>
      <x:c r="E9" s="29" t="str">
        <x:v>k3</x:v>
      </x:c>
      <x:c r="F9" s="39" t="n">
        <x:v>0.125</x:v>
      </x:c>
      <x:c r="G9" s="39" t="n">
        <x:v>0.006</x:v>
      </x:c>
      <x:c r="H9" s="29" t="str">
        <x:v>1/min</x:v>
      </x:c>
      <x:c r="I9" s="29" t="str"/>
      <x:c r="J9" s="50" t="str">
        <x:v>Digitized - approximate</x:v>
      </x:c>
      <x:c r="K9" s="29" t="str">
        <x:v>Figure 2</x:v>
      </x:c>
      <x:c r="L9" s="29" t="str">
        <x:v>Bar and error-bar estimate; use source image for final high-precision redigitization</x:v>
      </x:c>
    </x:row>
    <x:row r="10">
      <x:c r="A10" s="28" t="str">
        <x:v>2a</x:v>
      </x:c>
      <x:c r="B10" s="29" t="str">
        <x:v>Treated</x:v>
      </x:c>
      <x:c r="C10" s="29" t="str">
        <x:v>Day 30 vs 35</x:v>
      </x:c>
      <x:c r="D10" s="29" t="n">
        <x:v>30</x:v>
      </x:c>
      <x:c r="E10" s="29" t="str">
        <x:v>k4</x:v>
      </x:c>
      <x:c r="F10" s="39" t="n">
        <x:v>0.01</x:v>
      </x:c>
      <x:c r="G10" s="39" t="n">
        <x:v>0.003</x:v>
      </x:c>
      <x:c r="H10" s="29" t="str">
        <x:v>1/min</x:v>
      </x:c>
      <x:c r="I10" s="29" t="str"/>
      <x:c r="J10" s="50" t="str">
        <x:v>Digitized - approximate</x:v>
      </x:c>
      <x:c r="K10" s="29" t="str">
        <x:v>Figure 2</x:v>
      </x:c>
      <x:c r="L10" s="29" t="str">
        <x:v>Bar and error-bar estimate; use source image for final high-precision redigitization</x:v>
      </x:c>
    </x:row>
    <x:row r="11">
      <x:c r="A11" s="28" t="str">
        <x:v>2a</x:v>
      </x:c>
      <x:c r="B11" s="29" t="str">
        <x:v>Treated</x:v>
      </x:c>
      <x:c r="C11" s="29" t="str">
        <x:v>Day 30 vs 35</x:v>
      </x:c>
      <x:c r="D11" s="29" t="n">
        <x:v>35</x:v>
      </x:c>
      <x:c r="E11" s="29" t="str">
        <x:v>k4</x:v>
      </x:c>
      <x:c r="F11" s="39" t="n">
        <x:v>0.008</x:v>
      </x:c>
      <x:c r="G11" s="39" t="n">
        <x:v>0.003</x:v>
      </x:c>
      <x:c r="H11" s="29" t="str">
        <x:v>1/min</x:v>
      </x:c>
      <x:c r="I11" s="29" t="str"/>
      <x:c r="J11" s="50" t="str">
        <x:v>Digitized - approximate</x:v>
      </x:c>
      <x:c r="K11" s="29" t="str">
        <x:v>Figure 2</x:v>
      </x:c>
      <x:c r="L11" s="29" t="str">
        <x:v>Bar and error-bar estimate; use source image for final high-precision redigitization</x:v>
      </x:c>
    </x:row>
    <x:row r="12">
      <x:c r="A12" s="28" t="str">
        <x:v>2b</x:v>
      </x:c>
      <x:c r="B12" s="29" t="str">
        <x:v>Treated</x:v>
      </x:c>
      <x:c r="C12" s="29" t="str">
        <x:v>Day 30 vs 55</x:v>
      </x:c>
      <x:c r="D12" s="29" t="n">
        <x:v>30</x:v>
      </x:c>
      <x:c r="E12" s="29" t="str">
        <x:v>VB</x:v>
      </x:c>
      <x:c r="F12" s="39" t="n">
        <x:v>0.105</x:v>
      </x:c>
      <x:c r="G12" s="39" t="n">
        <x:v>0.03</x:v>
      </x:c>
      <x:c r="H12" s="29" t="str">
        <x:v>mL blood/mL tissue</x:v>
      </x:c>
      <x:c r="I12" s="29" t="str">
        <x:v>*</x:v>
      </x:c>
      <x:c r="J12" s="50" t="str">
        <x:v>Digitized - approximate</x:v>
      </x:c>
      <x:c r="K12" s="29" t="str">
        <x:v>Figure 2</x:v>
      </x:c>
      <x:c r="L12" s="29" t="str">
        <x:v>Bar and error-bar estimate; use source image for final high-precision redigitization</x:v>
      </x:c>
    </x:row>
    <x:row r="13">
      <x:c r="A13" s="28" t="str">
        <x:v>2b</x:v>
      </x:c>
      <x:c r="B13" s="29" t="str">
        <x:v>Treated</x:v>
      </x:c>
      <x:c r="C13" s="29" t="str">
        <x:v>Day 30 vs 55</x:v>
      </x:c>
      <x:c r="D13" s="29" t="n">
        <x:v>55</x:v>
      </x:c>
      <x:c r="E13" s="29" t="str">
        <x:v>VB</x:v>
      </x:c>
      <x:c r="F13" s="39" t="n">
        <x:v>0.05</x:v>
      </x:c>
      <x:c r="G13" s="39" t="n">
        <x:v>0.008</x:v>
      </x:c>
      <x:c r="H13" s="29" t="str">
        <x:v>mL blood/mL tissue</x:v>
      </x:c>
      <x:c r="I13" s="29" t="str">
        <x:v>*</x:v>
      </x:c>
      <x:c r="J13" s="50" t="str">
        <x:v>Digitized - approximate</x:v>
      </x:c>
      <x:c r="K13" s="29" t="str">
        <x:v>Figure 2</x:v>
      </x:c>
      <x:c r="L13" s="29" t="str">
        <x:v>Bar and error-bar estimate; use source image for final high-precision redigitization</x:v>
      </x:c>
    </x:row>
    <x:row r="14">
      <x:c r="A14" s="28" t="str">
        <x:v>2b</x:v>
      </x:c>
      <x:c r="B14" s="29" t="str">
        <x:v>Treated</x:v>
      </x:c>
      <x:c r="C14" s="29" t="str">
        <x:v>Day 30 vs 55</x:v>
      </x:c>
      <x:c r="D14" s="29" t="n">
        <x:v>30</x:v>
      </x:c>
      <x:c r="E14" s="29" t="str">
        <x:v>k1</x:v>
      </x:c>
      <x:c r="F14" s="39" t="n">
        <x:v>0.31</x:v>
      </x:c>
      <x:c r="G14" s="39" t="n">
        <x:v>0.015</x:v>
      </x:c>
      <x:c r="H14" s="29" t="str">
        <x:v>mL/mL tissue/min</x:v>
      </x:c>
      <x:c r="I14" s="29" t="str">
        <x:v>*</x:v>
      </x:c>
      <x:c r="J14" s="50" t="str">
        <x:v>Digitized - approximate</x:v>
      </x:c>
      <x:c r="K14" s="29" t="str">
        <x:v>Figure 2</x:v>
      </x:c>
      <x:c r="L14" s="29" t="str">
        <x:v>Bar and error-bar estimate; use source image for final high-precision redigitization</x:v>
      </x:c>
    </x:row>
    <x:row r="15">
      <x:c r="A15" s="28" t="str">
        <x:v>2b</x:v>
      </x:c>
      <x:c r="B15" s="29" t="str">
        <x:v>Treated</x:v>
      </x:c>
      <x:c r="C15" s="29" t="str">
        <x:v>Day 30 vs 55</x:v>
      </x:c>
      <x:c r="D15" s="29" t="n">
        <x:v>55</x:v>
      </x:c>
      <x:c r="E15" s="29" t="str">
        <x:v>k1</x:v>
      </x:c>
      <x:c r="F15" s="39" t="n">
        <x:v>0.25</x:v>
      </x:c>
      <x:c r="G15" s="39" t="n">
        <x:v>0.025</x:v>
      </x:c>
      <x:c r="H15" s="29" t="str">
        <x:v>mL/mL tissue/min</x:v>
      </x:c>
      <x:c r="I15" s="29" t="str">
        <x:v>*</x:v>
      </x:c>
      <x:c r="J15" s="50" t="str">
        <x:v>Digitized - approximate</x:v>
      </x:c>
      <x:c r="K15" s="29" t="str">
        <x:v>Figure 2</x:v>
      </x:c>
      <x:c r="L15" s="29" t="str">
        <x:v>Bar and error-bar estimate; use source image for final high-precision redigitization</x:v>
      </x:c>
    </x:row>
    <x:row r="16">
      <x:c r="A16" s="28" t="str">
        <x:v>2b</x:v>
      </x:c>
      <x:c r="B16" s="29" t="str">
        <x:v>Treated</x:v>
      </x:c>
      <x:c r="C16" s="29" t="str">
        <x:v>Day 30 vs 55</x:v>
      </x:c>
      <x:c r="D16" s="29" t="n">
        <x:v>30</x:v>
      </x:c>
      <x:c r="E16" s="29" t="str">
        <x:v>k2</x:v>
      </x:c>
      <x:c r="F16" s="39" t="n">
        <x:v>0.52</x:v>
      </x:c>
      <x:c r="G16" s="39" t="n">
        <x:v>0.035</x:v>
      </x:c>
      <x:c r="H16" s="29" t="str">
        <x:v>1/min</x:v>
      </x:c>
      <x:c r="I16" s="29" t="str"/>
      <x:c r="J16" s="50" t="str">
        <x:v>Digitized - approximate</x:v>
      </x:c>
      <x:c r="K16" s="29" t="str">
        <x:v>Figure 2</x:v>
      </x:c>
      <x:c r="L16" s="29" t="str">
        <x:v>Bar and error-bar estimate; use source image for final high-precision redigitization</x:v>
      </x:c>
    </x:row>
    <x:row r="17">
      <x:c r="A17" s="28" t="str">
        <x:v>2b</x:v>
      </x:c>
      <x:c r="B17" s="29" t="str">
        <x:v>Treated</x:v>
      </x:c>
      <x:c r="C17" s="29" t="str">
        <x:v>Day 30 vs 55</x:v>
      </x:c>
      <x:c r="D17" s="29" t="n">
        <x:v>55</x:v>
      </x:c>
      <x:c r="E17" s="29" t="str">
        <x:v>k2</x:v>
      </x:c>
      <x:c r="F17" s="39" t="n">
        <x:v>0.525</x:v>
      </x:c>
      <x:c r="G17" s="39" t="n">
        <x:v>0.035</x:v>
      </x:c>
      <x:c r="H17" s="29" t="str">
        <x:v>1/min</x:v>
      </x:c>
      <x:c r="I17" s="29" t="str"/>
      <x:c r="J17" s="50" t="str">
        <x:v>Digitized - approximate</x:v>
      </x:c>
      <x:c r="K17" s="29" t="str">
        <x:v>Figure 2</x:v>
      </x:c>
      <x:c r="L17" s="29" t="str">
        <x:v>Bar and error-bar estimate; use source image for final high-precision redigitization</x:v>
      </x:c>
    </x:row>
    <x:row r="18">
      <x:c r="A18" s="28" t="str">
        <x:v>2b</x:v>
      </x:c>
      <x:c r="B18" s="29" t="str">
        <x:v>Treated</x:v>
      </x:c>
      <x:c r="C18" s="29" t="str">
        <x:v>Day 30 vs 55</x:v>
      </x:c>
      <x:c r="D18" s="29" t="n">
        <x:v>30</x:v>
      </x:c>
      <x:c r="E18" s="29" t="str">
        <x:v>k3</x:v>
      </x:c>
      <x:c r="F18" s="39" t="n">
        <x:v>0.125</x:v>
      </x:c>
      <x:c r="G18" s="39" t="n">
        <x:v>0.008</x:v>
      </x:c>
      <x:c r="H18" s="29" t="str">
        <x:v>1/min</x:v>
      </x:c>
      <x:c r="I18" s="29" t="str"/>
      <x:c r="J18" s="50" t="str">
        <x:v>Digitized - approximate</x:v>
      </x:c>
      <x:c r="K18" s="29" t="str">
        <x:v>Figure 2</x:v>
      </x:c>
      <x:c r="L18" s="29" t="str">
        <x:v>Bar and error-bar estimate; use source image for final high-precision redigitization</x:v>
      </x:c>
    </x:row>
    <x:row r="19">
      <x:c r="A19" s="28" t="str">
        <x:v>2b</x:v>
      </x:c>
      <x:c r="B19" s="29" t="str">
        <x:v>Treated</x:v>
      </x:c>
      <x:c r="C19" s="29" t="str">
        <x:v>Day 30 vs 55</x:v>
      </x:c>
      <x:c r="D19" s="29" t="n">
        <x:v>55</x:v>
      </x:c>
      <x:c r="E19" s="29" t="str">
        <x:v>k3</x:v>
      </x:c>
      <x:c r="F19" s="39" t="n">
        <x:v>0.18</x:v>
      </x:c>
      <x:c r="G19" s="39" t="n">
        <x:v>0.055</x:v>
      </x:c>
      <x:c r="H19" s="29" t="str">
        <x:v>1/min</x:v>
      </x:c>
      <x:c r="I19" s="29" t="str"/>
      <x:c r="J19" s="50" t="str">
        <x:v>Digitized - approximate</x:v>
      </x:c>
      <x:c r="K19" s="29" t="str">
        <x:v>Figure 2</x:v>
      </x:c>
      <x:c r="L19" s="29" t="str">
        <x:v>Bar and error-bar estimate; use source image for final high-precision redigitization</x:v>
      </x:c>
    </x:row>
    <x:row r="20">
      <x:c r="A20" s="28" t="str">
        <x:v>2b</x:v>
      </x:c>
      <x:c r="B20" s="29" t="str">
        <x:v>Treated</x:v>
      </x:c>
      <x:c r="C20" s="29" t="str">
        <x:v>Day 30 vs 55</x:v>
      </x:c>
      <x:c r="D20" s="29" t="n">
        <x:v>30</x:v>
      </x:c>
      <x:c r="E20" s="29" t="str">
        <x:v>k4</x:v>
      </x:c>
      <x:c r="F20" s="39" t="n">
        <x:v>0.01</x:v>
      </x:c>
      <x:c r="G20" s="39" t="n">
        <x:v>0.003</x:v>
      </x:c>
      <x:c r="H20" s="29" t="str">
        <x:v>1/min</x:v>
      </x:c>
      <x:c r="I20" s="29" t="str">
        <x:v>*</x:v>
      </x:c>
      <x:c r="J20" s="50" t="str">
        <x:v>Digitized - approximate</x:v>
      </x:c>
      <x:c r="K20" s="29" t="str">
        <x:v>Figure 2</x:v>
      </x:c>
      <x:c r="L20" s="29" t="str">
        <x:v>Bar and error-bar estimate; use source image for final high-precision redigitization</x:v>
      </x:c>
    </x:row>
    <x:row r="21">
      <x:c r="A21" s="28" t="str">
        <x:v>2b</x:v>
      </x:c>
      <x:c r="B21" s="29" t="str">
        <x:v>Treated</x:v>
      </x:c>
      <x:c r="C21" s="29" t="str">
        <x:v>Day 30 vs 55</x:v>
      </x:c>
      <x:c r="D21" s="29" t="n">
        <x:v>55</x:v>
      </x:c>
      <x:c r="E21" s="29" t="str">
        <x:v>k4</x:v>
      </x:c>
      <x:c r="F21" s="39" t="n">
        <x:v>0.02</x:v>
      </x:c>
      <x:c r="G21" s="39" t="n">
        <x:v>0.005</x:v>
      </x:c>
      <x:c r="H21" s="29" t="str">
        <x:v>1/min</x:v>
      </x:c>
      <x:c r="I21" s="29" t="str">
        <x:v>*</x:v>
      </x:c>
      <x:c r="J21" s="50" t="str">
        <x:v>Digitized - approximate</x:v>
      </x:c>
      <x:c r="K21" s="29" t="str">
        <x:v>Figure 2</x:v>
      </x:c>
      <x:c r="L21" s="29" t="str">
        <x:v>Bar and error-bar estimate; use source image for final high-precision redigitization</x:v>
      </x:c>
    </x:row>
    <x:row r="22">
      <x:c r="A22" s="28" t="str">
        <x:v>2c</x:v>
      </x:c>
      <x:c r="B22" s="29" t="str">
        <x:v>Treated</x:v>
      </x:c>
      <x:c r="C22" s="29" t="str">
        <x:v>Day 35 vs 55</x:v>
      </x:c>
      <x:c r="D22" s="29" t="n">
        <x:v>35</x:v>
      </x:c>
      <x:c r="E22" s="29" t="str">
        <x:v>VB</x:v>
      </x:c>
      <x:c r="F22" s="39" t="n">
        <x:v>0.085</x:v>
      </x:c>
      <x:c r="G22" s="39" t="n">
        <x:v>0.015</x:v>
      </x:c>
      <x:c r="H22" s="29" t="str">
        <x:v>mL blood/mL tissue</x:v>
      </x:c>
      <x:c r="I22" s="29" t="str">
        <x:v>*</x:v>
      </x:c>
      <x:c r="J22" s="50" t="str">
        <x:v>Digitized - approximate</x:v>
      </x:c>
      <x:c r="K22" s="29" t="str">
        <x:v>Figure 2</x:v>
      </x:c>
      <x:c r="L22" s="29" t="str">
        <x:v>Bar and error-bar estimate; use source image for final high-precision redigitization</x:v>
      </x:c>
    </x:row>
    <x:row r="23">
      <x:c r="A23" s="28" t="str">
        <x:v>2c</x:v>
      </x:c>
      <x:c r="B23" s="29" t="str">
        <x:v>Treated</x:v>
      </x:c>
      <x:c r="C23" s="29" t="str">
        <x:v>Day 35 vs 55</x:v>
      </x:c>
      <x:c r="D23" s="29" t="n">
        <x:v>55</x:v>
      </x:c>
      <x:c r="E23" s="29" t="str">
        <x:v>VB</x:v>
      </x:c>
      <x:c r="F23" s="39" t="n">
        <x:v>0.05</x:v>
      </x:c>
      <x:c r="G23" s="39" t="n">
        <x:v>0.008</x:v>
      </x:c>
      <x:c r="H23" s="29" t="str">
        <x:v>mL blood/mL tissue</x:v>
      </x:c>
      <x:c r="I23" s="29" t="str">
        <x:v>*</x:v>
      </x:c>
      <x:c r="J23" s="50" t="str">
        <x:v>Digitized - approximate</x:v>
      </x:c>
      <x:c r="K23" s="29" t="str">
        <x:v>Figure 2</x:v>
      </x:c>
      <x:c r="L23" s="29" t="str">
        <x:v>Bar and error-bar estimate; use source image for final high-precision redigitization</x:v>
      </x:c>
    </x:row>
    <x:row r="24">
      <x:c r="A24" s="28" t="str">
        <x:v>2c</x:v>
      </x:c>
      <x:c r="B24" s="29" t="str">
        <x:v>Treated</x:v>
      </x:c>
      <x:c r="C24" s="29" t="str">
        <x:v>Day 35 vs 55</x:v>
      </x:c>
      <x:c r="D24" s="29" t="n">
        <x:v>35</x:v>
      </x:c>
      <x:c r="E24" s="29" t="str">
        <x:v>k1</x:v>
      </x:c>
      <x:c r="F24" s="39" t="n">
        <x:v>0.37</x:v>
      </x:c>
      <x:c r="G24" s="39" t="n">
        <x:v>0.035</x:v>
      </x:c>
      <x:c r="H24" s="29" t="str">
        <x:v>mL/mL tissue/min</x:v>
      </x:c>
      <x:c r="I24" s="29" t="str">
        <x:v>*</x:v>
      </x:c>
      <x:c r="J24" s="50" t="str">
        <x:v>Digitized - approximate</x:v>
      </x:c>
      <x:c r="K24" s="29" t="str">
        <x:v>Figure 2</x:v>
      </x:c>
      <x:c r="L24" s="29" t="str">
        <x:v>Bar and error-bar estimate; use source image for final high-precision redigitization</x:v>
      </x:c>
    </x:row>
    <x:row r="25">
      <x:c r="A25" s="28" t="str">
        <x:v>2c</x:v>
      </x:c>
      <x:c r="B25" s="29" t="str">
        <x:v>Treated</x:v>
      </x:c>
      <x:c r="C25" s="29" t="str">
        <x:v>Day 35 vs 55</x:v>
      </x:c>
      <x:c r="D25" s="29" t="n">
        <x:v>55</x:v>
      </x:c>
      <x:c r="E25" s="29" t="str">
        <x:v>k1</x:v>
      </x:c>
      <x:c r="F25" s="39" t="n">
        <x:v>0.25</x:v>
      </x:c>
      <x:c r="G25" s="39" t="n">
        <x:v>0.02</x:v>
      </x:c>
      <x:c r="H25" s="29" t="str">
        <x:v>mL/mL tissue/min</x:v>
      </x:c>
      <x:c r="I25" s="29" t="str">
        <x:v>*</x:v>
      </x:c>
      <x:c r="J25" s="50" t="str">
        <x:v>Digitized - approximate</x:v>
      </x:c>
      <x:c r="K25" s="29" t="str">
        <x:v>Figure 2</x:v>
      </x:c>
      <x:c r="L25" s="29" t="str">
        <x:v>Bar and error-bar estimate; use source image for final high-precision redigitization</x:v>
      </x:c>
    </x:row>
    <x:row r="26">
      <x:c r="A26" s="28" t="str">
        <x:v>2c</x:v>
      </x:c>
      <x:c r="B26" s="29" t="str">
        <x:v>Treated</x:v>
      </x:c>
      <x:c r="C26" s="29" t="str">
        <x:v>Day 35 vs 55</x:v>
      </x:c>
      <x:c r="D26" s="29" t="n">
        <x:v>35</x:v>
      </x:c>
      <x:c r="E26" s="29" t="str">
        <x:v>k2</x:v>
      </x:c>
      <x:c r="F26" s="39" t="n">
        <x:v>0.58</x:v>
      </x:c>
      <x:c r="G26" s="39" t="n">
        <x:v>0.035</x:v>
      </x:c>
      <x:c r="H26" s="29" t="str">
        <x:v>1/min</x:v>
      </x:c>
      <x:c r="I26" s="29" t="str"/>
      <x:c r="J26" s="50" t="str">
        <x:v>Digitized - approximate</x:v>
      </x:c>
      <x:c r="K26" s="29" t="str">
        <x:v>Figure 2</x:v>
      </x:c>
      <x:c r="L26" s="29" t="str">
        <x:v>Bar and error-bar estimate; use source image for final high-precision redigitization</x:v>
      </x:c>
    </x:row>
    <x:row r="27">
      <x:c r="A27" s="28" t="str">
        <x:v>2c</x:v>
      </x:c>
      <x:c r="B27" s="29" t="str">
        <x:v>Treated</x:v>
      </x:c>
      <x:c r="C27" s="29" t="str">
        <x:v>Day 35 vs 55</x:v>
      </x:c>
      <x:c r="D27" s="29" t="n">
        <x:v>55</x:v>
      </x:c>
      <x:c r="E27" s="29" t="str">
        <x:v>k2</x:v>
      </x:c>
      <x:c r="F27" s="39" t="n">
        <x:v>0.52</x:v>
      </x:c>
      <x:c r="G27" s="39" t="n">
        <x:v>0.035</x:v>
      </x:c>
      <x:c r="H27" s="29" t="str">
        <x:v>1/min</x:v>
      </x:c>
      <x:c r="I27" s="29" t="str"/>
      <x:c r="J27" s="50" t="str">
        <x:v>Digitized - approximate</x:v>
      </x:c>
      <x:c r="K27" s="29" t="str">
        <x:v>Figure 2</x:v>
      </x:c>
      <x:c r="L27" s="29" t="str">
        <x:v>Bar and error-bar estimate; use source image for final high-precision redigitization</x:v>
      </x:c>
    </x:row>
    <x:row r="28">
      <x:c r="A28" s="28" t="str">
        <x:v>2c</x:v>
      </x:c>
      <x:c r="B28" s="29" t="str">
        <x:v>Treated</x:v>
      </x:c>
      <x:c r="C28" s="29" t="str">
        <x:v>Day 35 vs 55</x:v>
      </x:c>
      <x:c r="D28" s="29" t="n">
        <x:v>35</x:v>
      </x:c>
      <x:c r="E28" s="29" t="str">
        <x:v>k3</x:v>
      </x:c>
      <x:c r="F28" s="39" t="n">
        <x:v>0.125</x:v>
      </x:c>
      <x:c r="G28" s="39" t="n">
        <x:v>0.01</x:v>
      </x:c>
      <x:c r="H28" s="29" t="str">
        <x:v>1/min</x:v>
      </x:c>
      <x:c r="I28" s="29" t="str"/>
      <x:c r="J28" s="50" t="str">
        <x:v>Digitized - approximate</x:v>
      </x:c>
      <x:c r="K28" s="29" t="str">
        <x:v>Figure 2</x:v>
      </x:c>
      <x:c r="L28" s="29" t="str">
        <x:v>Bar and error-bar estimate; use source image for final high-precision redigitization</x:v>
      </x:c>
    </x:row>
    <x:row r="29">
      <x:c r="A29" s="28" t="str">
        <x:v>2c</x:v>
      </x:c>
      <x:c r="B29" s="29" t="str">
        <x:v>Treated</x:v>
      </x:c>
      <x:c r="C29" s="29" t="str">
        <x:v>Day 35 vs 55</x:v>
      </x:c>
      <x:c r="D29" s="29" t="n">
        <x:v>55</x:v>
      </x:c>
      <x:c r="E29" s="29" t="str">
        <x:v>k3</x:v>
      </x:c>
      <x:c r="F29" s="39" t="n">
        <x:v>0.18</x:v>
      </x:c>
      <x:c r="G29" s="39" t="n">
        <x:v>0.035</x:v>
      </x:c>
      <x:c r="H29" s="29" t="str">
        <x:v>1/min</x:v>
      </x:c>
      <x:c r="I29" s="29" t="str"/>
      <x:c r="J29" s="50" t="str">
        <x:v>Digitized - approximate</x:v>
      </x:c>
      <x:c r="K29" s="29" t="str">
        <x:v>Figure 2</x:v>
      </x:c>
      <x:c r="L29" s="29" t="str">
        <x:v>Bar and error-bar estimate; use source image for final high-precision redigitization</x:v>
      </x:c>
    </x:row>
    <x:row r="30">
      <x:c r="A30" s="28" t="str">
        <x:v>2c</x:v>
      </x:c>
      <x:c r="B30" s="29" t="str">
        <x:v>Treated</x:v>
      </x:c>
      <x:c r="C30" s="29" t="str">
        <x:v>Day 35 vs 55</x:v>
      </x:c>
      <x:c r="D30" s="29" t="n">
        <x:v>35</x:v>
      </x:c>
      <x:c r="E30" s="29" t="str">
        <x:v>k4</x:v>
      </x:c>
      <x:c r="F30" s="39" t="n">
        <x:v>0.015</x:v>
      </x:c>
      <x:c r="G30" s="39" t="n">
        <x:v>0.004</x:v>
      </x:c>
      <x:c r="H30" s="29" t="str">
        <x:v>1/min</x:v>
      </x:c>
      <x:c r="I30" s="29" t="str"/>
      <x:c r="J30" s="50" t="str">
        <x:v>Digitized - approximate</x:v>
      </x:c>
      <x:c r="K30" s="29" t="str">
        <x:v>Figure 2</x:v>
      </x:c>
      <x:c r="L30" s="29" t="str">
        <x:v>Bar and error-bar estimate; use source image for final high-precision redigitization</x:v>
      </x:c>
    </x:row>
    <x:row r="31">
      <x:c r="A31" s="28" t="str">
        <x:v>2c</x:v>
      </x:c>
      <x:c r="B31" s="29" t="str">
        <x:v>Treated</x:v>
      </x:c>
      <x:c r="C31" s="29" t="str">
        <x:v>Day 35 vs 55</x:v>
      </x:c>
      <x:c r="D31" s="29" t="n">
        <x:v>55</x:v>
      </x:c>
      <x:c r="E31" s="29" t="str">
        <x:v>k4</x:v>
      </x:c>
      <x:c r="F31" s="39" t="n">
        <x:v>0.025</x:v>
      </x:c>
      <x:c r="G31" s="39" t="n">
        <x:v>0.007</x:v>
      </x:c>
      <x:c r="H31" s="29" t="str">
        <x:v>1/min</x:v>
      </x:c>
      <x:c r="I31" s="29" t="str"/>
      <x:c r="J31" s="50" t="str">
        <x:v>Digitized - approximate</x:v>
      </x:c>
      <x:c r="K31" s="29" t="str">
        <x:v>Figure 2</x:v>
      </x:c>
      <x:c r="L31" s="29" t="str">
        <x:v>Bar and error-bar estimate; use source image for final high-precision redigitization</x:v>
      </x:c>
    </x:row>
    <x:row r="32">
      <x:c r="A32" s="28" t="str">
        <x:v>2d</x:v>
      </x:c>
      <x:c r="B32" s="29" t="str">
        <x:v>Control</x:v>
      </x:c>
      <x:c r="C32" s="29" t="str">
        <x:v>Day 30 vs 35</x:v>
      </x:c>
      <x:c r="D32" s="29" t="n">
        <x:v>30</x:v>
      </x:c>
      <x:c r="E32" s="29" t="str">
        <x:v>VB</x:v>
      </x:c>
      <x:c r="F32" s="39" t="n">
        <x:v>0.11</x:v>
      </x:c>
      <x:c r="G32" s="39" t="n">
        <x:v>0.03</x:v>
      </x:c>
      <x:c r="H32" s="29" t="str">
        <x:v>mL blood/mL tissue</x:v>
      </x:c>
      <x:c r="I32" s="29" t="str"/>
      <x:c r="J32" s="50" t="str">
        <x:v>Digitized - approximate</x:v>
      </x:c>
      <x:c r="K32" s="29" t="str">
        <x:v>Figure 2</x:v>
      </x:c>
      <x:c r="L32" s="29" t="str">
        <x:v>Bar and error-bar estimate; use source image for final high-precision redigitization</x:v>
      </x:c>
    </x:row>
    <x:row r="33">
      <x:c r="A33" s="28" t="str">
        <x:v>2d</x:v>
      </x:c>
      <x:c r="B33" s="29" t="str">
        <x:v>Control</x:v>
      </x:c>
      <x:c r="C33" s="29" t="str">
        <x:v>Day 30 vs 35</x:v>
      </x:c>
      <x:c r="D33" s="29" t="n">
        <x:v>35</x:v>
      </x:c>
      <x:c r="E33" s="29" t="str">
        <x:v>VB</x:v>
      </x:c>
      <x:c r="F33" s="39" t="n">
        <x:v>0.07</x:v>
      </x:c>
      <x:c r="G33" s="39" t="n">
        <x:v>0.01</x:v>
      </x:c>
      <x:c r="H33" s="29" t="str">
        <x:v>mL blood/mL tissue</x:v>
      </x:c>
      <x:c r="I33" s="29" t="str"/>
      <x:c r="J33" s="50" t="str">
        <x:v>Digitized - approximate</x:v>
      </x:c>
      <x:c r="K33" s="29" t="str">
        <x:v>Figure 2</x:v>
      </x:c>
      <x:c r="L33" s="29" t="str">
        <x:v>Bar and error-bar estimate; use source image for final high-precision redigitization</x:v>
      </x:c>
    </x:row>
    <x:row r="34">
      <x:c r="A34" s="28" t="str">
        <x:v>2d</x:v>
      </x:c>
      <x:c r="B34" s="29" t="str">
        <x:v>Control</x:v>
      </x:c>
      <x:c r="C34" s="29" t="str">
        <x:v>Day 30 vs 35</x:v>
      </x:c>
      <x:c r="D34" s="29" t="n">
        <x:v>30</x:v>
      </x:c>
      <x:c r="E34" s="29" t="str">
        <x:v>k1</x:v>
      </x:c>
      <x:c r="F34" s="39" t="n">
        <x:v>0.31</x:v>
      </x:c>
      <x:c r="G34" s="39" t="n">
        <x:v>0.015</x:v>
      </x:c>
      <x:c r="H34" s="29" t="str">
        <x:v>mL/mL tissue/min</x:v>
      </x:c>
      <x:c r="I34" s="29" t="str"/>
      <x:c r="J34" s="50" t="str">
        <x:v>Digitized - approximate</x:v>
      </x:c>
      <x:c r="K34" s="29" t="str">
        <x:v>Figure 2</x:v>
      </x:c>
      <x:c r="L34" s="29" t="str">
        <x:v>Bar and error-bar estimate; use source image for final high-precision redigitization</x:v>
      </x:c>
    </x:row>
    <x:row r="35">
      <x:c r="A35" s="28" t="str">
        <x:v>2d</x:v>
      </x:c>
      <x:c r="B35" s="29" t="str">
        <x:v>Control</x:v>
      </x:c>
      <x:c r="C35" s="29" t="str">
        <x:v>Day 30 vs 35</x:v>
      </x:c>
      <x:c r="D35" s="29" t="n">
        <x:v>35</x:v>
      </x:c>
      <x:c r="E35" s="29" t="str">
        <x:v>k1</x:v>
      </x:c>
      <x:c r="F35" s="39" t="n">
        <x:v>0.305</x:v>
      </x:c>
      <x:c r="G35" s="39" t="n">
        <x:v>0.035</x:v>
      </x:c>
      <x:c r="H35" s="29" t="str">
        <x:v>mL/mL tissue/min</x:v>
      </x:c>
      <x:c r="I35" s="29" t="str"/>
      <x:c r="J35" s="50" t="str">
        <x:v>Digitized - approximate</x:v>
      </x:c>
      <x:c r="K35" s="29" t="str">
        <x:v>Figure 2</x:v>
      </x:c>
      <x:c r="L35" s="29" t="str">
        <x:v>Bar and error-bar estimate; use source image for final high-precision redigitization</x:v>
      </x:c>
    </x:row>
    <x:row r="36">
      <x:c r="A36" s="28" t="str">
        <x:v>2d</x:v>
      </x:c>
      <x:c r="B36" s="29" t="str">
        <x:v>Control</x:v>
      </x:c>
      <x:c r="C36" s="29" t="str">
        <x:v>Day 30 vs 35</x:v>
      </x:c>
      <x:c r="D36" s="29" t="n">
        <x:v>30</x:v>
      </x:c>
      <x:c r="E36" s="29" t="str">
        <x:v>k2</x:v>
      </x:c>
      <x:c r="F36" s="39" t="n">
        <x:v>0.525</x:v>
      </x:c>
      <x:c r="G36" s="39" t="n">
        <x:v>0.035</x:v>
      </x:c>
      <x:c r="H36" s="29" t="str">
        <x:v>1/min</x:v>
      </x:c>
      <x:c r="I36" s="29" t="str"/>
      <x:c r="J36" s="50" t="str">
        <x:v>Digitized - approximate</x:v>
      </x:c>
      <x:c r="K36" s="29" t="str">
        <x:v>Figure 2</x:v>
      </x:c>
      <x:c r="L36" s="29" t="str">
        <x:v>Bar and error-bar estimate; use source image for final high-precision redigitization</x:v>
      </x:c>
    </x:row>
    <x:row r="37">
      <x:c r="A37" s="28" t="str">
        <x:v>2d</x:v>
      </x:c>
      <x:c r="B37" s="29" t="str">
        <x:v>Control</x:v>
      </x:c>
      <x:c r="C37" s="29" t="str">
        <x:v>Day 30 vs 35</x:v>
      </x:c>
      <x:c r="D37" s="29" t="n">
        <x:v>35</x:v>
      </x:c>
      <x:c r="E37" s="29" t="str">
        <x:v>k2</x:v>
      </x:c>
      <x:c r="F37" s="39" t="n">
        <x:v>0.565</x:v>
      </x:c>
      <x:c r="G37" s="39" t="n">
        <x:v>0.045</x:v>
      </x:c>
      <x:c r="H37" s="29" t="str">
        <x:v>1/min</x:v>
      </x:c>
      <x:c r="I37" s="29" t="str"/>
      <x:c r="J37" s="50" t="str">
        <x:v>Digitized - approximate</x:v>
      </x:c>
      <x:c r="K37" s="29" t="str">
        <x:v>Figure 2</x:v>
      </x:c>
      <x:c r="L37" s="29" t="str">
        <x:v>Bar and error-bar estimate; use source image for final high-precision redigitization</x:v>
      </x:c>
    </x:row>
    <x:row r="38">
      <x:c r="A38" s="28" t="str">
        <x:v>2d</x:v>
      </x:c>
      <x:c r="B38" s="29" t="str">
        <x:v>Control</x:v>
      </x:c>
      <x:c r="C38" s="29" t="str">
        <x:v>Day 30 vs 35</x:v>
      </x:c>
      <x:c r="D38" s="29" t="n">
        <x:v>30</x:v>
      </x:c>
      <x:c r="E38" s="29" t="str">
        <x:v>k3</x:v>
      </x:c>
      <x:c r="F38" s="39" t="n">
        <x:v>0.12</x:v>
      </x:c>
      <x:c r="G38" s="39" t="n">
        <x:v>0.01</x:v>
      </x:c>
      <x:c r="H38" s="29" t="str">
        <x:v>1/min</x:v>
      </x:c>
      <x:c r="I38" s="29" t="str"/>
      <x:c r="J38" s="50" t="str">
        <x:v>Digitized - approximate</x:v>
      </x:c>
      <x:c r="K38" s="29" t="str">
        <x:v>Figure 2</x:v>
      </x:c>
      <x:c r="L38" s="29" t="str">
        <x:v>Bar and error-bar estimate; use source image for final high-precision redigitization</x:v>
      </x:c>
    </x:row>
    <x:row r="39">
      <x:c r="A39" s="28" t="str">
        <x:v>2d</x:v>
      </x:c>
      <x:c r="B39" s="29" t="str">
        <x:v>Control</x:v>
      </x:c>
      <x:c r="C39" s="29" t="str">
        <x:v>Day 30 vs 35</x:v>
      </x:c>
      <x:c r="D39" s="29" t="n">
        <x:v>35</x:v>
      </x:c>
      <x:c r="E39" s="29" t="str">
        <x:v>k3</x:v>
      </x:c>
      <x:c r="F39" s="39" t="n">
        <x:v>0.16</x:v>
      </x:c>
      <x:c r="G39" s="39" t="n">
        <x:v>0.006</x:v>
      </x:c>
      <x:c r="H39" s="29" t="str">
        <x:v>1/min</x:v>
      </x:c>
      <x:c r="I39" s="29" t="str"/>
      <x:c r="J39" s="50" t="str">
        <x:v>Digitized - approximate</x:v>
      </x:c>
      <x:c r="K39" s="29" t="str">
        <x:v>Figure 2</x:v>
      </x:c>
      <x:c r="L39" s="29" t="str">
        <x:v>Bar and error-bar estimate; use source image for final high-precision redigitization</x:v>
      </x:c>
    </x:row>
    <x:row r="40">
      <x:c r="A40" s="28" t="str">
        <x:v>2d</x:v>
      </x:c>
      <x:c r="B40" s="29" t="str">
        <x:v>Control</x:v>
      </x:c>
      <x:c r="C40" s="29" t="str">
        <x:v>Day 30 vs 35</x:v>
      </x:c>
      <x:c r="D40" s="29" t="n">
        <x:v>30</x:v>
      </x:c>
      <x:c r="E40" s="29" t="str">
        <x:v>k4</x:v>
      </x:c>
      <x:c r="F40" s="39" t="n">
        <x:v>0.01</x:v>
      </x:c>
      <x:c r="G40" s="39" t="n">
        <x:v>0.003</x:v>
      </x:c>
      <x:c r="H40" s="29" t="str">
        <x:v>1/min</x:v>
      </x:c>
      <x:c r="I40" s="29" t="str"/>
      <x:c r="J40" s="50" t="str">
        <x:v>Digitized - approximate</x:v>
      </x:c>
      <x:c r="K40" s="29" t="str">
        <x:v>Figure 2</x:v>
      </x:c>
      <x:c r="L40" s="29" t="str">
        <x:v>Bar and error-bar estimate; use source image for final high-precision redigitization</x:v>
      </x:c>
    </x:row>
    <x:row r="41">
      <x:c r="A41" s="28" t="str">
        <x:v>2d</x:v>
      </x:c>
      <x:c r="B41" s="29" t="str">
        <x:v>Control</x:v>
      </x:c>
      <x:c r="C41" s="29" t="str">
        <x:v>Day 30 vs 35</x:v>
      </x:c>
      <x:c r="D41" s="29" t="n">
        <x:v>35</x:v>
      </x:c>
      <x:c r="E41" s="29" t="str">
        <x:v>k4</x:v>
      </x:c>
      <x:c r="F41" s="39" t="n">
        <x:v>0.015</x:v>
      </x:c>
      <x:c r="G41" s="39" t="n">
        <x:v>0.004</x:v>
      </x:c>
      <x:c r="H41" s="29" t="str">
        <x:v>1/min</x:v>
      </x:c>
      <x:c r="I41" s="29" t="str"/>
      <x:c r="J41" s="50" t="str">
        <x:v>Digitized - approximate</x:v>
      </x:c>
      <x:c r="K41" s="29" t="str">
        <x:v>Figure 2</x:v>
      </x:c>
      <x:c r="L41" s="29" t="str">
        <x:v>Bar and error-bar estimate; use source image for final high-precision redigitization</x:v>
      </x:c>
    </x:row>
    <x:row r="42">
      <x:c r="A42" s="28" t="str">
        <x:v>2e</x:v>
      </x:c>
      <x:c r="B42" s="29" t="str">
        <x:v>Control</x:v>
      </x:c>
      <x:c r="C42" s="29" t="str">
        <x:v>Day 30 vs 55</x:v>
      </x:c>
      <x:c r="D42" s="29" t="n">
        <x:v>30</x:v>
      </x:c>
      <x:c r="E42" s="29" t="str">
        <x:v>VB</x:v>
      </x:c>
      <x:c r="F42" s="39" t="n">
        <x:v>0.105</x:v>
      </x:c>
      <x:c r="G42" s="39" t="n">
        <x:v>0.025</x:v>
      </x:c>
      <x:c r="H42" s="29" t="str">
        <x:v>mL blood/mL tissue</x:v>
      </x:c>
      <x:c r="I42" s="29" t="str"/>
      <x:c r="J42" s="50" t="str">
        <x:v>Digitized - approximate</x:v>
      </x:c>
      <x:c r="K42" s="29" t="str">
        <x:v>Figure 2</x:v>
      </x:c>
      <x:c r="L42" s="29" t="str">
        <x:v>Bar and error-bar estimate; use source image for final high-precision redigitization</x:v>
      </x:c>
    </x:row>
    <x:row r="43">
      <x:c r="A43" s="28" t="str">
        <x:v>2e</x:v>
      </x:c>
      <x:c r="B43" s="29" t="str">
        <x:v>Control</x:v>
      </x:c>
      <x:c r="C43" s="29" t="str">
        <x:v>Day 30 vs 55</x:v>
      </x:c>
      <x:c r="D43" s="29" t="n">
        <x:v>55</x:v>
      </x:c>
      <x:c r="E43" s="29" t="str">
        <x:v>VB</x:v>
      </x:c>
      <x:c r="F43" s="39" t="n">
        <x:v>0.09</x:v>
      </x:c>
      <x:c r="G43" s="39" t="n">
        <x:v>0.01</x:v>
      </x:c>
      <x:c r="H43" s="29" t="str">
        <x:v>mL blood/mL tissue</x:v>
      </x:c>
      <x:c r="I43" s="29" t="str"/>
      <x:c r="J43" s="50" t="str">
        <x:v>Digitized - approximate</x:v>
      </x:c>
      <x:c r="K43" s="29" t="str">
        <x:v>Figure 2</x:v>
      </x:c>
      <x:c r="L43" s="29" t="str">
        <x:v>Bar and error-bar estimate; use source image for final high-precision redigitization</x:v>
      </x:c>
    </x:row>
    <x:row r="44">
      <x:c r="A44" s="28" t="str">
        <x:v>2e</x:v>
      </x:c>
      <x:c r="B44" s="29" t="str">
        <x:v>Control</x:v>
      </x:c>
      <x:c r="C44" s="29" t="str">
        <x:v>Day 30 vs 55</x:v>
      </x:c>
      <x:c r="D44" s="29" t="n">
        <x:v>30</x:v>
      </x:c>
      <x:c r="E44" s="29" t="str">
        <x:v>k1</x:v>
      </x:c>
      <x:c r="F44" s="39" t="n">
        <x:v>0.31</x:v>
      </x:c>
      <x:c r="G44" s="39" t="n">
        <x:v>0.02</x:v>
      </x:c>
      <x:c r="H44" s="29" t="str">
        <x:v>mL/mL tissue/min</x:v>
      </x:c>
      <x:c r="I44" s="29" t="str"/>
      <x:c r="J44" s="50" t="str">
        <x:v>Digitized - approximate</x:v>
      </x:c>
      <x:c r="K44" s="29" t="str">
        <x:v>Figure 2</x:v>
      </x:c>
      <x:c r="L44" s="29" t="str">
        <x:v>Bar and error-bar estimate; use source image for final high-precision redigitization</x:v>
      </x:c>
    </x:row>
    <x:row r="45">
      <x:c r="A45" s="28" t="str">
        <x:v>2e</x:v>
      </x:c>
      <x:c r="B45" s="29" t="str">
        <x:v>Control</x:v>
      </x:c>
      <x:c r="C45" s="29" t="str">
        <x:v>Day 30 vs 55</x:v>
      </x:c>
      <x:c r="D45" s="29" t="n">
        <x:v>55</x:v>
      </x:c>
      <x:c r="E45" s="29" t="str">
        <x:v>k1</x:v>
      </x:c>
      <x:c r="F45" s="39" t="n">
        <x:v>0.295</x:v>
      </x:c>
      <x:c r="G45" s="39" t="n">
        <x:v>0.04</x:v>
      </x:c>
      <x:c r="H45" s="29" t="str">
        <x:v>mL/mL tissue/min</x:v>
      </x:c>
      <x:c r="I45" s="29" t="str"/>
      <x:c r="J45" s="50" t="str">
        <x:v>Digitized - approximate</x:v>
      </x:c>
      <x:c r="K45" s="29" t="str">
        <x:v>Figure 2</x:v>
      </x:c>
      <x:c r="L45" s="29" t="str">
        <x:v>Bar and error-bar estimate; use source image for final high-precision redigitization</x:v>
      </x:c>
    </x:row>
    <x:row r="46">
      <x:c r="A46" s="28" t="str">
        <x:v>2e</x:v>
      </x:c>
      <x:c r="B46" s="29" t="str">
        <x:v>Control</x:v>
      </x:c>
      <x:c r="C46" s="29" t="str">
        <x:v>Day 30 vs 55</x:v>
      </x:c>
      <x:c r="D46" s="29" t="n">
        <x:v>30</x:v>
      </x:c>
      <x:c r="E46" s="29" t="str">
        <x:v>k2</x:v>
      </x:c>
      <x:c r="F46" s="39" t="n">
        <x:v>0.515</x:v>
      </x:c>
      <x:c r="G46" s="39" t="n">
        <x:v>0.035</x:v>
      </x:c>
      <x:c r="H46" s="29" t="str">
        <x:v>1/min</x:v>
      </x:c>
      <x:c r="I46" s="29" t="str"/>
      <x:c r="J46" s="50" t="str">
        <x:v>Digitized - approximate</x:v>
      </x:c>
      <x:c r="K46" s="29" t="str">
        <x:v>Figure 2</x:v>
      </x:c>
      <x:c r="L46" s="29" t="str">
        <x:v>Bar and error-bar estimate; use source image for final high-precision redigitization</x:v>
      </x:c>
    </x:row>
    <x:row r="47">
      <x:c r="A47" s="28" t="str">
        <x:v>2e</x:v>
      </x:c>
      <x:c r="B47" s="29" t="str">
        <x:v>Control</x:v>
      </x:c>
      <x:c r="C47" s="29" t="str">
        <x:v>Day 30 vs 55</x:v>
      </x:c>
      <x:c r="D47" s="29" t="n">
        <x:v>55</x:v>
      </x:c>
      <x:c r="E47" s="29" t="str">
        <x:v>k2</x:v>
      </x:c>
      <x:c r="F47" s="39" t="n">
        <x:v>0.62</x:v>
      </x:c>
      <x:c r="G47" s="39" t="n">
        <x:v>0.045</x:v>
      </x:c>
      <x:c r="H47" s="29" t="str">
        <x:v>1/min</x:v>
      </x:c>
      <x:c r="I47" s="29" t="str"/>
      <x:c r="J47" s="50" t="str">
        <x:v>Digitized - approximate</x:v>
      </x:c>
      <x:c r="K47" s="29" t="str">
        <x:v>Figure 2</x:v>
      </x:c>
      <x:c r="L47" s="29" t="str">
        <x:v>Bar and error-bar estimate; use source image for final high-precision redigitization</x:v>
      </x:c>
    </x:row>
    <x:row r="48">
      <x:c r="A48" s="28" t="str">
        <x:v>2e</x:v>
      </x:c>
      <x:c r="B48" s="29" t="str">
        <x:v>Control</x:v>
      </x:c>
      <x:c r="C48" s="29" t="str">
        <x:v>Day 30 vs 55</x:v>
      </x:c>
      <x:c r="D48" s="29" t="n">
        <x:v>30</x:v>
      </x:c>
      <x:c r="E48" s="29" t="str">
        <x:v>k3</x:v>
      </x:c>
      <x:c r="F48" s="39" t="n">
        <x:v>0.12</x:v>
      </x:c>
      <x:c r="G48" s="39" t="n">
        <x:v>0.01</x:v>
      </x:c>
      <x:c r="H48" s="29" t="str">
        <x:v>1/min</x:v>
      </x:c>
      <x:c r="I48" s="29" t="str"/>
      <x:c r="J48" s="50" t="str">
        <x:v>Digitized - approximate</x:v>
      </x:c>
      <x:c r="K48" s="29" t="str">
        <x:v>Figure 2</x:v>
      </x:c>
      <x:c r="L48" s="29" t="str">
        <x:v>Bar and error-bar estimate; use source image for final high-precision redigitization</x:v>
      </x:c>
    </x:row>
    <x:row r="49">
      <x:c r="A49" s="28" t="str">
        <x:v>2e</x:v>
      </x:c>
      <x:c r="B49" s="29" t="str">
        <x:v>Control</x:v>
      </x:c>
      <x:c r="C49" s="29" t="str">
        <x:v>Day 30 vs 55</x:v>
      </x:c>
      <x:c r="D49" s="29" t="n">
        <x:v>55</x:v>
      </x:c>
      <x:c r="E49" s="29" t="str">
        <x:v>k3</x:v>
      </x:c>
      <x:c r="F49" s="39" t="n">
        <x:v>0.105</x:v>
      </x:c>
      <x:c r="G49" s="39" t="n">
        <x:v>0.01</x:v>
      </x:c>
      <x:c r="H49" s="29" t="str">
        <x:v>1/min</x:v>
      </x:c>
      <x:c r="I49" s="29" t="str"/>
      <x:c r="J49" s="50" t="str">
        <x:v>Digitized - approximate</x:v>
      </x:c>
      <x:c r="K49" s="29" t="str">
        <x:v>Figure 2</x:v>
      </x:c>
      <x:c r="L49" s="29" t="str">
        <x:v>Bar and error-bar estimate; use source image for final high-precision redigitization</x:v>
      </x:c>
    </x:row>
    <x:row r="50">
      <x:c r="A50" s="28" t="str">
        <x:v>2e</x:v>
      </x:c>
      <x:c r="B50" s="29" t="str">
        <x:v>Control</x:v>
      </x:c>
      <x:c r="C50" s="29" t="str">
        <x:v>Day 30 vs 55</x:v>
      </x:c>
      <x:c r="D50" s="29" t="n">
        <x:v>30</x:v>
      </x:c>
      <x:c r="E50" s="29" t="str">
        <x:v>k4</x:v>
      </x:c>
      <x:c r="F50" s="39" t="n">
        <x:v>0.01</x:v>
      </x:c>
      <x:c r="G50" s="39" t="n">
        <x:v>0.003</x:v>
      </x:c>
      <x:c r="H50" s="29" t="str">
        <x:v>1/min</x:v>
      </x:c>
      <x:c r="I50" s="29" t="str"/>
      <x:c r="J50" s="50" t="str">
        <x:v>Digitized - approximate</x:v>
      </x:c>
      <x:c r="K50" s="29" t="str">
        <x:v>Figure 2</x:v>
      </x:c>
      <x:c r="L50" s="29" t="str">
        <x:v>Bar and error-bar estimate; use source image for final high-precision redigitization</x:v>
      </x:c>
    </x:row>
    <x:row r="51">
      <x:c r="A51" s="28" t="str">
        <x:v>2e</x:v>
      </x:c>
      <x:c r="B51" s="29" t="str">
        <x:v>Control</x:v>
      </x:c>
      <x:c r="C51" s="29" t="str">
        <x:v>Day 30 vs 55</x:v>
      </x:c>
      <x:c r="D51" s="29" t="n">
        <x:v>55</x:v>
      </x:c>
      <x:c r="E51" s="29" t="str">
        <x:v>k4</x:v>
      </x:c>
      <x:c r="F51" s="39" t="n">
        <x:v>0.005</x:v>
      </x:c>
      <x:c r="G51" s="39" t="n">
        <x:v>0.003</x:v>
      </x:c>
      <x:c r="H51" s="29" t="str">
        <x:v>1/min</x:v>
      </x:c>
      <x:c r="I51" s="29" t="str"/>
      <x:c r="J51" s="50" t="str">
        <x:v>Digitized - approximate</x:v>
      </x:c>
      <x:c r="K51" s="29" t="str">
        <x:v>Figure 2</x:v>
      </x:c>
      <x:c r="L51" s="29" t="str">
        <x:v>Bar and error-bar estimate; use source image for final high-precision redigitization</x:v>
      </x:c>
    </x:row>
    <x:row r="52">
      <x:c r="A52" s="28" t="str">
        <x:v>2f</x:v>
      </x:c>
      <x:c r="B52" s="29" t="str">
        <x:v>Control</x:v>
      </x:c>
      <x:c r="C52" s="29" t="str">
        <x:v>Day 35 vs 55</x:v>
      </x:c>
      <x:c r="D52" s="29" t="n">
        <x:v>35</x:v>
      </x:c>
      <x:c r="E52" s="29" t="str">
        <x:v>VB</x:v>
      </x:c>
      <x:c r="F52" s="39" t="n">
        <x:v>0.065</x:v>
      </x:c>
      <x:c r="G52" s="39" t="n">
        <x:v>0.015</x:v>
      </x:c>
      <x:c r="H52" s="29" t="str">
        <x:v>mL blood/mL tissue</x:v>
      </x:c>
      <x:c r="I52" s="29" t="str">
        <x:v>*</x:v>
      </x:c>
      <x:c r="J52" s="50" t="str">
        <x:v>Digitized - approximate</x:v>
      </x:c>
      <x:c r="K52" s="29" t="str">
        <x:v>Figure 2</x:v>
      </x:c>
      <x:c r="L52" s="29" t="str">
        <x:v>Bar and error-bar estimate; use source image for final high-precision redigitization</x:v>
      </x:c>
    </x:row>
    <x:row r="53">
      <x:c r="A53" s="28" t="str">
        <x:v>2f</x:v>
      </x:c>
      <x:c r="B53" s="29" t="str">
        <x:v>Control</x:v>
      </x:c>
      <x:c r="C53" s="29" t="str">
        <x:v>Day 35 vs 55</x:v>
      </x:c>
      <x:c r="D53" s="29" t="n">
        <x:v>55</x:v>
      </x:c>
      <x:c r="E53" s="29" t="str">
        <x:v>VB</x:v>
      </x:c>
      <x:c r="F53" s="39" t="n">
        <x:v>0.09</x:v>
      </x:c>
      <x:c r="G53" s="39" t="n">
        <x:v>0.012</x:v>
      </x:c>
      <x:c r="H53" s="29" t="str">
        <x:v>mL blood/mL tissue</x:v>
      </x:c>
      <x:c r="I53" s="29" t="str">
        <x:v>*</x:v>
      </x:c>
      <x:c r="J53" s="50" t="str">
        <x:v>Digitized - approximate</x:v>
      </x:c>
      <x:c r="K53" s="29" t="str">
        <x:v>Figure 2</x:v>
      </x:c>
      <x:c r="L53" s="29" t="str">
        <x:v>Bar and error-bar estimate; use source image for final high-precision redigitization</x:v>
      </x:c>
    </x:row>
    <x:row r="54">
      <x:c r="A54" s="28" t="str">
        <x:v>2f</x:v>
      </x:c>
      <x:c r="B54" s="29" t="str">
        <x:v>Control</x:v>
      </x:c>
      <x:c r="C54" s="29" t="str">
        <x:v>Day 35 vs 55</x:v>
      </x:c>
      <x:c r="D54" s="29" t="n">
        <x:v>35</x:v>
      </x:c>
      <x:c r="E54" s="29" t="str">
        <x:v>k1</x:v>
      </x:c>
      <x:c r="F54" s="39" t="n">
        <x:v>0.3</x:v>
      </x:c>
      <x:c r="G54" s="39" t="n">
        <x:v>0.015</x:v>
      </x:c>
      <x:c r="H54" s="29" t="str">
        <x:v>mL/mL tissue/min</x:v>
      </x:c>
      <x:c r="I54" s="29" t="str"/>
      <x:c r="J54" s="50" t="str">
        <x:v>Digitized - approximate</x:v>
      </x:c>
      <x:c r="K54" s="29" t="str">
        <x:v>Figure 2</x:v>
      </x:c>
      <x:c r="L54" s="29" t="str">
        <x:v>Bar and error-bar estimate; use source image for final high-precision redigitization</x:v>
      </x:c>
    </x:row>
    <x:row r="55">
      <x:c r="A55" s="28" t="str">
        <x:v>2f</x:v>
      </x:c>
      <x:c r="B55" s="29" t="str">
        <x:v>Control</x:v>
      </x:c>
      <x:c r="C55" s="29" t="str">
        <x:v>Day 35 vs 55</x:v>
      </x:c>
      <x:c r="D55" s="29" t="n">
        <x:v>55</x:v>
      </x:c>
      <x:c r="E55" s="29" t="str">
        <x:v>k1</x:v>
      </x:c>
      <x:c r="F55" s="39" t="n">
        <x:v>0.305</x:v>
      </x:c>
      <x:c r="G55" s="39" t="n">
        <x:v>0.035</x:v>
      </x:c>
      <x:c r="H55" s="29" t="str">
        <x:v>mL/mL tissue/min</x:v>
      </x:c>
      <x:c r="I55" s="29" t="str"/>
      <x:c r="J55" s="50" t="str">
        <x:v>Digitized - approximate</x:v>
      </x:c>
      <x:c r="K55" s="29" t="str">
        <x:v>Figure 2</x:v>
      </x:c>
      <x:c r="L55" s="29" t="str">
        <x:v>Bar and error-bar estimate; use source image for final high-precision redigitization</x:v>
      </x:c>
    </x:row>
    <x:row r="56">
      <x:c r="A56" s="28" t="str">
        <x:v>2f</x:v>
      </x:c>
      <x:c r="B56" s="29" t="str">
        <x:v>Control</x:v>
      </x:c>
      <x:c r="C56" s="29" t="str">
        <x:v>Day 35 vs 55</x:v>
      </x:c>
      <x:c r="D56" s="29" t="n">
        <x:v>35</x:v>
      </x:c>
      <x:c r="E56" s="29" t="str">
        <x:v>k2</x:v>
      </x:c>
      <x:c r="F56" s="39" t="n">
        <x:v>0.56</x:v>
      </x:c>
      <x:c r="G56" s="39" t="n">
        <x:v>0.035</x:v>
      </x:c>
      <x:c r="H56" s="29" t="str">
        <x:v>1/min</x:v>
      </x:c>
      <x:c r="I56" s="29" t="str">
        <x:v>*</x:v>
      </x:c>
      <x:c r="J56" s="50" t="str">
        <x:v>Digitized - approximate</x:v>
      </x:c>
      <x:c r="K56" s="29" t="str">
        <x:v>Figure 2</x:v>
      </x:c>
      <x:c r="L56" s="29" t="str">
        <x:v>Bar and error-bar estimate; use source image for final high-precision redigitization</x:v>
      </x:c>
    </x:row>
    <x:row r="57">
      <x:c r="A57" s="28" t="str">
        <x:v>2f</x:v>
      </x:c>
      <x:c r="B57" s="29" t="str">
        <x:v>Control</x:v>
      </x:c>
      <x:c r="C57" s="29" t="str">
        <x:v>Day 35 vs 55</x:v>
      </x:c>
      <x:c r="D57" s="29" t="n">
        <x:v>55</x:v>
      </x:c>
      <x:c r="E57" s="29" t="str">
        <x:v>k2</x:v>
      </x:c>
      <x:c r="F57" s="39" t="n">
        <x:v>0.62</x:v>
      </x:c>
      <x:c r="G57" s="39" t="n">
        <x:v>0.045</x:v>
      </x:c>
      <x:c r="H57" s="29" t="str">
        <x:v>1/min</x:v>
      </x:c>
      <x:c r="I57" s="29" t="str">
        <x:v>*</x:v>
      </x:c>
      <x:c r="J57" s="50" t="str">
        <x:v>Digitized - approximate</x:v>
      </x:c>
      <x:c r="K57" s="29" t="str">
        <x:v>Figure 2</x:v>
      </x:c>
      <x:c r="L57" s="29" t="str">
        <x:v>Bar and error-bar estimate; use source image for final high-precision redigitization</x:v>
      </x:c>
    </x:row>
    <x:row r="58">
      <x:c r="A58" s="28" t="str">
        <x:v>2f</x:v>
      </x:c>
      <x:c r="B58" s="29" t="str">
        <x:v>Control</x:v>
      </x:c>
      <x:c r="C58" s="29" t="str">
        <x:v>Day 35 vs 55</x:v>
      </x:c>
      <x:c r="D58" s="29" t="n">
        <x:v>35</x:v>
      </x:c>
      <x:c r="E58" s="29" t="str">
        <x:v>k3</x:v>
      </x:c>
      <x:c r="F58" s="39" t="n">
        <x:v>0.15</x:v>
      </x:c>
      <x:c r="G58" s="39" t="n">
        <x:v>0.01</x:v>
      </x:c>
      <x:c r="H58" s="29" t="str">
        <x:v>1/min</x:v>
      </x:c>
      <x:c r="I58" s="29" t="str">
        <x:v>*</x:v>
      </x:c>
      <x:c r="J58" s="50" t="str">
        <x:v>Digitized - approximate</x:v>
      </x:c>
      <x:c r="K58" s="29" t="str">
        <x:v>Figure 2</x:v>
      </x:c>
      <x:c r="L58" s="29" t="str">
        <x:v>Bar and error-bar estimate; use source image for final high-precision redigitization</x:v>
      </x:c>
    </x:row>
    <x:row r="59">
      <x:c r="A59" s="28" t="str">
        <x:v>2f</x:v>
      </x:c>
      <x:c r="B59" s="29" t="str">
        <x:v>Control</x:v>
      </x:c>
      <x:c r="C59" s="29" t="str">
        <x:v>Day 35 vs 55</x:v>
      </x:c>
      <x:c r="D59" s="29" t="n">
        <x:v>55</x:v>
      </x:c>
      <x:c r="E59" s="29" t="str">
        <x:v>k3</x:v>
      </x:c>
      <x:c r="F59" s="39" t="n">
        <x:v>0.105</x:v>
      </x:c>
      <x:c r="G59" s="39" t="n">
        <x:v>0.01</x:v>
      </x:c>
      <x:c r="H59" s="29" t="str">
        <x:v>1/min</x:v>
      </x:c>
      <x:c r="I59" s="29" t="str">
        <x:v>*</x:v>
      </x:c>
      <x:c r="J59" s="50" t="str">
        <x:v>Digitized - approximate</x:v>
      </x:c>
      <x:c r="K59" s="29" t="str">
        <x:v>Figure 2</x:v>
      </x:c>
      <x:c r="L59" s="29" t="str">
        <x:v>Bar and error-bar estimate; use source image for final high-precision redigitization</x:v>
      </x:c>
    </x:row>
    <x:row r="60">
      <x:c r="A60" s="28" t="str">
        <x:v>2f</x:v>
      </x:c>
      <x:c r="B60" s="29" t="str">
        <x:v>Control</x:v>
      </x:c>
      <x:c r="C60" s="29" t="str">
        <x:v>Day 35 vs 55</x:v>
      </x:c>
      <x:c r="D60" s="29" t="n">
        <x:v>35</x:v>
      </x:c>
      <x:c r="E60" s="29" t="str">
        <x:v>k4</x:v>
      </x:c>
      <x:c r="F60" s="39" t="n">
        <x:v>0.015</x:v>
      </x:c>
      <x:c r="G60" s="39" t="n">
        <x:v>0.004</x:v>
      </x:c>
      <x:c r="H60" s="29" t="str">
        <x:v>1/min</x:v>
      </x:c>
      <x:c r="I60" s="29" t="str"/>
      <x:c r="J60" s="50" t="str">
        <x:v>Digitized - approximate</x:v>
      </x:c>
      <x:c r="K60" s="29" t="str">
        <x:v>Figure 2</x:v>
      </x:c>
      <x:c r="L60" s="29" t="str">
        <x:v>Bar and error-bar estimate; use source image for final high-precision redigitization</x:v>
      </x:c>
    </x:row>
    <x:row r="61">
      <x:c r="A61" s="30" t="str">
        <x:v>2f</x:v>
      </x:c>
      <x:c r="B61" s="31" t="str">
        <x:v>Control</x:v>
      </x:c>
      <x:c r="C61" s="31" t="str">
        <x:v>Day 35 vs 55</x:v>
      </x:c>
      <x:c r="D61" s="31" t="n">
        <x:v>55</x:v>
      </x:c>
      <x:c r="E61" s="31" t="str">
        <x:v>k4</x:v>
      </x:c>
      <x:c r="F61" s="40" t="n">
        <x:v>0.01</x:v>
      </x:c>
      <x:c r="G61" s="40" t="n">
        <x:v>0.003</x:v>
      </x:c>
      <x:c r="H61" s="31" t="str">
        <x:v>1/min</x:v>
      </x:c>
      <x:c r="I61" s="31" t="str"/>
      <x:c r="J61" s="51" t="str">
        <x:v>Digitized - approximate</x:v>
      </x:c>
      <x:c r="K61" s="31" t="str">
        <x:v>Figure 2</x:v>
      </x:c>
      <x:c r="L61" s="31" t="str">
        <x:v>Bar and error-bar estimate; use source image for final high-precision redigitization</x:v>
      </x:c>
    </x:row>
    <x:row r="62">
      <x:c r="A62" s="27"/>
      <x:c r="B62" s="27"/>
      <x:c r="C62" s="27"/>
      <x:c r="D62" s="27"/>
      <x:c r="E62" s="27"/>
      <x:c r="F62" s="41"/>
      <x:c r="G62" s="41"/>
      <x:c r="H62" s="27"/>
      <x:c r="I62" s="27"/>
      <x:c r="J62" s="27"/>
      <x:c r="K62" s="27"/>
      <x:c r="L62" s="27"/>
    </x:row>
    <x:row r="63">
      <x:c r="A63" s="27"/>
      <x:c r="B63" s="27"/>
      <x:c r="C63" s="27"/>
      <x:c r="D63" s="27"/>
      <x:c r="E63" s="27"/>
      <x:c r="F63" s="41"/>
      <x:c r="G63" s="41"/>
      <x:c r="H63" s="27"/>
      <x:c r="I63" s="27"/>
      <x:c r="J63" s="27"/>
      <x:c r="K63" s="27"/>
      <x:c r="L63" s="27"/>
    </x:row>
    <x:row r="64">
      <x:c r="A64" s="27"/>
      <x:c r="B64" s="27"/>
      <x:c r="C64" s="27"/>
      <x:c r="D64" s="27"/>
      <x:c r="E64" s="27"/>
      <x:c r="F64" s="41"/>
      <x:c r="G64" s="41"/>
      <x:c r="H64" s="27"/>
      <x:c r="I64" s="27"/>
      <x:c r="J64" s="27"/>
      <x:c r="K64" s="27"/>
      <x:c r="L64" s="27"/>
    </x:row>
    <x:row r="65">
      <x:c r="A65" s="27"/>
      <x:c r="B65" s="27"/>
      <x:c r="C65" s="27"/>
      <x:c r="D65" s="27"/>
      <x:c r="E65" s="27"/>
      <x:c r="F65" s="41"/>
      <x:c r="G65" s="41"/>
      <x:c r="H65" s="27"/>
      <x:c r="I65" s="27"/>
      <x:c r="J65" s="27"/>
      <x:c r="K65" s="27"/>
      <x:c r="L65" s="27"/>
    </x:row>
    <x:row r="66">
      <x:c r="A66" s="27"/>
      <x:c r="B66" s="27"/>
      <x:c r="C66" s="27"/>
      <x:c r="D66" s="27"/>
      <x:c r="E66" s="27"/>
      <x:c r="F66" s="41"/>
      <x:c r="G66" s="41"/>
      <x:c r="H66" s="27"/>
      <x:c r="I66" s="27"/>
      <x:c r="J66" s="27"/>
      <x:c r="K66" s="27"/>
      <x:c r="L66" s="27"/>
    </x:row>
    <x:row r="67">
      <x:c r="A67" s="27"/>
      <x:c r="B67" s="27"/>
      <x:c r="C67" s="27"/>
      <x:c r="D67" s="27"/>
      <x:c r="E67" s="27"/>
      <x:c r="F67" s="41"/>
      <x:c r="G67" s="41"/>
      <x:c r="H67" s="27"/>
      <x:c r="I67" s="27"/>
      <x:c r="J67" s="27"/>
      <x:c r="K67" s="27"/>
      <x:c r="L67" s="27"/>
    </x:row>
    <x:row r="68">
      <x:c r="A68" s="27"/>
      <x:c r="B68" s="27"/>
      <x:c r="C68" s="27"/>
      <x:c r="D68" s="27"/>
      <x:c r="E68" s="27"/>
      <x:c r="F68" s="41"/>
      <x:c r="G68" s="41"/>
      <x:c r="H68" s="27"/>
      <x:c r="I68" s="27"/>
      <x:c r="J68" s="27"/>
      <x:c r="K68" s="27"/>
      <x:c r="L68" s="27"/>
    </x:row>
    <x:row r="69">
      <x:c r="A69" s="27"/>
      <x:c r="B69" s="27"/>
      <x:c r="C69" s="27"/>
      <x:c r="D69" s="27"/>
      <x:c r="E69" s="27"/>
      <x:c r="F69" s="41"/>
      <x:c r="G69" s="41"/>
      <x:c r="H69" s="27"/>
      <x:c r="I69" s="27"/>
      <x:c r="J69" s="27"/>
      <x:c r="K69" s="27"/>
      <x:c r="L69" s="27"/>
    </x:row>
    <x:row r="70">
      <x:c r="A70" s="27"/>
      <x:c r="B70" s="27"/>
      <x:c r="C70" s="27"/>
      <x:c r="D70" s="27"/>
      <x:c r="E70" s="27"/>
      <x:c r="F70" s="41"/>
      <x:c r="G70" s="41"/>
      <x:c r="H70" s="27"/>
      <x:c r="I70" s="27"/>
      <x:c r="J70" s="27"/>
      <x:c r="K70" s="27"/>
      <x:c r="L70" s="27"/>
    </x:row>
    <x:row r="71">
      <x:c r="A71" s="27"/>
      <x:c r="B71" s="27"/>
      <x:c r="C71" s="27"/>
      <x:c r="D71" s="27"/>
      <x:c r="E71" s="27"/>
      <x:c r="F71" s="41"/>
      <x:c r="G71" s="41"/>
      <x:c r="H71" s="27"/>
      <x:c r="I71" s="27"/>
      <x:c r="J71" s="27"/>
      <x:c r="K71" s="27"/>
      <x:c r="L71" s="27"/>
    </x:row>
    <x:row r="72">
      <x:c r="A72" s="27"/>
      <x:c r="B72" s="27"/>
      <x:c r="C72" s="27"/>
      <x:c r="D72" s="27"/>
      <x:c r="E72" s="27"/>
      <x:c r="F72" s="41"/>
      <x:c r="G72" s="41"/>
      <x:c r="H72" s="27"/>
      <x:c r="I72" s="27"/>
      <x:c r="J72" s="27"/>
      <x:c r="K72" s="27"/>
      <x:c r="L72" s="27"/>
    </x:row>
    <x:row r="73">
      <x:c r="A73" s="27"/>
      <x:c r="B73" s="27"/>
      <x:c r="C73" s="27"/>
      <x:c r="D73" s="27"/>
      <x:c r="E73" s="27"/>
      <x:c r="F73" s="41"/>
      <x:c r="G73" s="41"/>
      <x:c r="H73" s="27"/>
      <x:c r="I73" s="27"/>
      <x:c r="J73" s="27"/>
      <x:c r="K73" s="27"/>
      <x:c r="L73" s="27"/>
    </x:row>
    <x:row r="74">
      <x:c r="A74" s="27"/>
      <x:c r="B74" s="27"/>
      <x:c r="C74" s="27"/>
      <x:c r="D74" s="27"/>
      <x:c r="E74" s="27"/>
      <x:c r="F74" s="41"/>
      <x:c r="G74" s="41"/>
      <x:c r="H74" s="27"/>
      <x:c r="I74" s="27"/>
      <x:c r="J74" s="27"/>
      <x:c r="K74" s="27"/>
      <x:c r="L74" s="27"/>
    </x:row>
    <x:row r="75">
      <x:c r="A75" s="27"/>
      <x:c r="B75" s="27"/>
      <x:c r="C75" s="27"/>
      <x:c r="D75" s="27"/>
      <x:c r="E75" s="27"/>
      <x:c r="F75" s="41"/>
      <x:c r="G75" s="41"/>
      <x:c r="H75" s="27"/>
      <x:c r="I75" s="27"/>
      <x:c r="J75" s="27"/>
      <x:c r="K75" s="27"/>
      <x:c r="L75" s="27"/>
    </x:row>
    <x:row r="76">
      <x:c r="A76" s="27"/>
      <x:c r="B76" s="27"/>
      <x:c r="C76" s="27"/>
      <x:c r="D76" s="27"/>
      <x:c r="E76" s="27"/>
      <x:c r="F76" s="41"/>
      <x:c r="G76" s="41"/>
      <x:c r="H76" s="27"/>
      <x:c r="I76" s="27"/>
      <x:c r="J76" s="27"/>
      <x:c r="K76" s="27"/>
      <x:c r="L76" s="27"/>
    </x:row>
    <x:row r="77">
      <x:c r="A77" s="27"/>
      <x:c r="B77" s="27"/>
      <x:c r="C77" s="27"/>
      <x:c r="D77" s="27"/>
      <x:c r="E77" s="27"/>
      <x:c r="F77" s="41"/>
      <x:c r="G77" s="41"/>
      <x:c r="H77" s="27"/>
      <x:c r="I77" s="27"/>
      <x:c r="J77" s="27"/>
      <x:c r="K77" s="27"/>
      <x:c r="L77" s="27"/>
    </x:row>
    <x:row r="78">
      <x:c r="A78" s="27"/>
      <x:c r="B78" s="27"/>
      <x:c r="C78" s="27"/>
      <x:c r="D78" s="27"/>
      <x:c r="E78" s="27"/>
      <x:c r="F78" s="41"/>
      <x:c r="G78" s="41"/>
      <x:c r="H78" s="27"/>
      <x:c r="I78" s="27"/>
      <x:c r="J78" s="27"/>
      <x:c r="K78" s="27"/>
      <x:c r="L78" s="27"/>
    </x:row>
    <x:row r="79">
      <x:c r="A79" s="27"/>
      <x:c r="B79" s="27"/>
      <x:c r="C79" s="27"/>
      <x:c r="D79" s="27"/>
      <x:c r="E79" s="27"/>
      <x:c r="F79" s="41"/>
      <x:c r="G79" s="41"/>
      <x:c r="H79" s="27"/>
      <x:c r="I79" s="27"/>
      <x:c r="J79" s="27"/>
      <x:c r="K79" s="27"/>
      <x:c r="L79" s="27"/>
    </x:row>
    <x:row r="80">
      <x:c r="A80" s="27"/>
      <x:c r="B80" s="27"/>
      <x:c r="C80" s="27"/>
      <x:c r="D80" s="27"/>
      <x:c r="E80" s="27"/>
      <x:c r="F80" s="41"/>
      <x:c r="G80" s="41"/>
      <x:c r="H80" s="27"/>
      <x:c r="I80" s="27"/>
      <x:c r="J80" s="27"/>
      <x:c r="K80" s="27"/>
      <x:c r="L80" s="27"/>
    </x:row>
    <x:row r="81">
      <x:c r="A81" s="27"/>
      <x:c r="B81" s="27"/>
      <x:c r="C81" s="27"/>
      <x:c r="D81" s="27"/>
      <x:c r="E81" s="27"/>
      <x:c r="F81" s="41"/>
      <x:c r="G81" s="41"/>
      <x:c r="H81" s="27"/>
      <x:c r="I81" s="27"/>
      <x:c r="J81" s="27"/>
      <x:c r="K81" s="27"/>
      <x:c r="L81" s="27"/>
    </x:row>
    <x:row r="82">
      <x:c r="A82" s="27"/>
      <x:c r="B82" s="27"/>
      <x:c r="C82" s="27"/>
      <x:c r="D82" s="27"/>
      <x:c r="E82" s="27"/>
      <x:c r="F82" s="41"/>
      <x:c r="G82" s="41"/>
      <x:c r="H82" s="27"/>
      <x:c r="I82" s="27"/>
      <x:c r="J82" s="27"/>
      <x:c r="K82" s="27"/>
      <x:c r="L82" s="27"/>
    </x:row>
    <x:row r="83">
      <x:c r="A83" s="27"/>
      <x:c r="B83" s="27"/>
      <x:c r="C83" s="27"/>
      <x:c r="D83" s="27"/>
      <x:c r="E83" s="27"/>
      <x:c r="F83" s="41"/>
      <x:c r="G83" s="41"/>
      <x:c r="H83" s="27"/>
      <x:c r="I83" s="27"/>
      <x:c r="J83" s="27"/>
      <x:c r="K83" s="27"/>
      <x:c r="L83" s="27"/>
    </x:row>
    <x:row r="84">
      <x:c r="A84" s="27"/>
      <x:c r="B84" s="27"/>
      <x:c r="C84" s="27"/>
      <x:c r="D84" s="27"/>
      <x:c r="E84" s="27"/>
      <x:c r="F84" s="41"/>
      <x:c r="G84" s="41"/>
      <x:c r="H84" s="27"/>
      <x:c r="I84" s="27"/>
      <x:c r="J84" s="27"/>
      <x:c r="K84" s="27"/>
      <x:c r="L84" s="27"/>
    </x:row>
    <x:row r="85">
      <x:c r="A85" s="27"/>
      <x:c r="B85" s="27"/>
      <x:c r="C85" s="27"/>
      <x:c r="D85" s="27"/>
      <x:c r="E85" s="27"/>
      <x:c r="F85" s="41"/>
      <x:c r="G85" s="41"/>
      <x:c r="H85" s="27"/>
      <x:c r="I85" s="27"/>
      <x:c r="J85" s="27"/>
      <x:c r="K85" s="27"/>
      <x:c r="L85" s="27"/>
    </x:row>
    <x:row r="86">
      <x:c r="A86" s="27"/>
      <x:c r="B86" s="27"/>
      <x:c r="C86" s="27"/>
      <x:c r="D86" s="27"/>
      <x:c r="E86" s="27"/>
      <x:c r="F86" s="41"/>
      <x:c r="G86" s="41"/>
      <x:c r="H86" s="27"/>
      <x:c r="I86" s="27"/>
      <x:c r="J86" s="27"/>
      <x:c r="K86" s="27"/>
      <x:c r="L86" s="27"/>
    </x:row>
    <x:row r="87">
      <x:c r="A87" s="27"/>
      <x:c r="B87" s="27"/>
      <x:c r="C87" s="27"/>
      <x:c r="D87" s="27"/>
      <x:c r="E87" s="27"/>
      <x:c r="F87" s="41"/>
      <x:c r="G87" s="41"/>
      <x:c r="H87" s="27"/>
      <x:c r="I87" s="27"/>
      <x:c r="J87" s="27"/>
      <x:c r="K87" s="27"/>
      <x:c r="L87" s="27"/>
    </x:row>
    <x:row r="88">
      <x:c r="A88" s="27"/>
      <x:c r="B88" s="27"/>
      <x:c r="C88" s="27"/>
      <x:c r="D88" s="27"/>
      <x:c r="E88" s="27"/>
      <x:c r="F88" s="41"/>
      <x:c r="G88" s="41"/>
      <x:c r="H88" s="27"/>
      <x:c r="I88" s="27"/>
      <x:c r="J88" s="27"/>
      <x:c r="K88" s="27"/>
      <x:c r="L88" s="27"/>
    </x:row>
    <x:row r="89">
      <x:c r="A89" s="27"/>
      <x:c r="B89" s="27"/>
      <x:c r="C89" s="27"/>
      <x:c r="D89" s="27"/>
      <x:c r="E89" s="27"/>
      <x:c r="F89" s="41"/>
      <x:c r="G89" s="41"/>
      <x:c r="H89" s="27"/>
      <x:c r="I89" s="27"/>
      <x:c r="J89" s="27"/>
      <x:c r="K89" s="27"/>
      <x:c r="L89" s="27"/>
    </x:row>
    <x:row r="90">
      <x:c r="A90" s="27"/>
      <x:c r="B90" s="27"/>
      <x:c r="C90" s="27"/>
      <x:c r="D90" s="27"/>
      <x:c r="E90" s="27"/>
      <x:c r="F90" s="41"/>
      <x:c r="G90" s="41"/>
      <x:c r="H90" s="27"/>
      <x:c r="I90" s="27"/>
      <x:c r="J90" s="27"/>
      <x:c r="K90" s="27"/>
      <x:c r="L90" s="27"/>
    </x:row>
    <x:row r="91">
      <x:c r="A91" s="27"/>
      <x:c r="B91" s="27"/>
      <x:c r="C91" s="27"/>
      <x:c r="D91" s="27"/>
      <x:c r="E91" s="27"/>
      <x:c r="F91" s="41"/>
      <x:c r="G91" s="41"/>
      <x:c r="H91" s="27"/>
      <x:c r="I91" s="27"/>
      <x:c r="J91" s="27"/>
      <x:c r="K91" s="27"/>
      <x:c r="L91" s="27"/>
    </x:row>
    <x:row r="92">
      <x:c r="A92" s="27"/>
      <x:c r="B92" s="27"/>
      <x:c r="C92" s="27"/>
      <x:c r="D92" s="27"/>
      <x:c r="E92" s="27"/>
      <x:c r="F92" s="41"/>
      <x:c r="G92" s="41"/>
      <x:c r="H92" s="27"/>
      <x:c r="I92" s="27"/>
      <x:c r="J92" s="27"/>
      <x:c r="K92" s="27"/>
      <x:c r="L92" s="27"/>
    </x:row>
    <x:row r="93">
      <x:c r="A93" s="27"/>
      <x:c r="B93" s="27"/>
      <x:c r="C93" s="27"/>
      <x:c r="D93" s="27"/>
      <x:c r="E93" s="27"/>
      <x:c r="F93" s="41"/>
      <x:c r="G93" s="41"/>
      <x:c r="H93" s="27"/>
      <x:c r="I93" s="27"/>
      <x:c r="J93" s="27"/>
      <x:c r="K93" s="27"/>
      <x:c r="L93" s="27"/>
    </x:row>
    <x:row r="94">
      <x:c r="A94" s="27"/>
      <x:c r="B94" s="27"/>
      <x:c r="C94" s="27"/>
      <x:c r="D94" s="27"/>
      <x:c r="E94" s="27"/>
      <x:c r="F94" s="41"/>
      <x:c r="G94" s="41"/>
      <x:c r="H94" s="27"/>
      <x:c r="I94" s="27"/>
      <x:c r="J94" s="27"/>
      <x:c r="K94" s="27"/>
      <x:c r="L94" s="27"/>
    </x:row>
    <x:row r="95">
      <x:c r="A95" s="27"/>
      <x:c r="B95" s="27"/>
      <x:c r="C95" s="27"/>
      <x:c r="D95" s="27"/>
      <x:c r="E95" s="27"/>
      <x:c r="F95" s="41"/>
      <x:c r="G95" s="41"/>
      <x:c r="H95" s="27"/>
      <x:c r="I95" s="27"/>
      <x:c r="J95" s="27"/>
      <x:c r="K95" s="27"/>
      <x:c r="L95" s="27"/>
    </x:row>
    <x:row r="96">
      <x:c r="A96" s="27"/>
      <x:c r="B96" s="27"/>
      <x:c r="C96" s="27"/>
      <x:c r="D96" s="27"/>
      <x:c r="E96" s="27"/>
      <x:c r="F96" s="41"/>
      <x:c r="G96" s="41"/>
      <x:c r="H96" s="27"/>
      <x:c r="I96" s="27"/>
      <x:c r="J96" s="27"/>
      <x:c r="K96" s="27"/>
      <x:c r="L96" s="27"/>
    </x:row>
    <x:row r="97">
      <x:c r="A97" s="27"/>
      <x:c r="B97" s="27"/>
      <x:c r="C97" s="27"/>
      <x:c r="D97" s="27"/>
      <x:c r="E97" s="27"/>
      <x:c r="F97" s="41"/>
      <x:c r="G97" s="41"/>
      <x:c r="H97" s="27"/>
      <x:c r="I97" s="27"/>
      <x:c r="J97" s="27"/>
      <x:c r="K97" s="27"/>
      <x:c r="L97" s="27"/>
    </x:row>
    <x:row r="98">
      <x:c r="A98" s="27"/>
      <x:c r="B98" s="27"/>
      <x:c r="C98" s="27"/>
      <x:c r="D98" s="27"/>
      <x:c r="E98" s="27"/>
      <x:c r="F98" s="41"/>
      <x:c r="G98" s="41"/>
      <x:c r="H98" s="27"/>
      <x:c r="I98" s="27"/>
      <x:c r="J98" s="27"/>
      <x:c r="K98" s="27"/>
      <x:c r="L98" s="27"/>
    </x:row>
    <x:row r="99">
      <x:c r="A99" s="27"/>
      <x:c r="B99" s="27"/>
      <x:c r="C99" s="27"/>
      <x:c r="D99" s="27"/>
      <x:c r="E99" s="27"/>
      <x:c r="F99" s="41"/>
      <x:c r="G99" s="41"/>
      <x:c r="H99" s="27"/>
      <x:c r="I99" s="27"/>
      <x:c r="J99" s="27"/>
      <x:c r="K99" s="27"/>
      <x:c r="L99" s="27"/>
    </x:row>
    <x:row r="100">
      <x:c r="A100" s="27"/>
      <x:c r="B100" s="27"/>
      <x:c r="C100" s="27"/>
      <x:c r="D100" s="27"/>
      <x:c r="E100" s="27"/>
      <x:c r="F100" s="41"/>
      <x:c r="G100" s="41"/>
      <x:c r="H100" s="27"/>
      <x:c r="I100" s="27"/>
      <x:c r="J100" s="27"/>
      <x:c r="K100" s="27"/>
      <x:c r="L100" s="2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6" hidden="0" customWidth="1"/>
    <x:col min="3" max="3" width="38" hidden="0" customWidth="1"/>
    <x:col min="4" max="4" width="14" hidden="0" customWidth="1"/>
    <x:col min="5" max="5" width="14" hidden="0" customWidth="1"/>
    <x:col min="6" max="6" width="16" hidden="0" customWidth="1"/>
    <x:col min="7" max="7" width="12" hidden="0" customWidth="1"/>
    <x:col min="8" max="8" width="10" hidden="0" customWidth="1"/>
    <x:col min="9" max="9" width="27" hidden="0" customWidth="1"/>
    <x:col min="10" max="10" width="13" hidden="0" customWidth="1"/>
    <x:col min="11" max="11" width="12" hidden="0" customWidth="1"/>
  </x:cols>
  <x:sheetData>
    <x:row r="1" ht="30" customHeight="1">
      <x:c r="A1" s="18" t="str">
        <x:v>Gene</x:v>
      </x:c>
      <x:c r="B1" s="19" t="str">
        <x:v>Description</x:v>
      </x:c>
      <x:c r="C1" s="19" t="str">
        <x:v>Function</x:v>
      </x:c>
      <x:c r="D1" s="19" t="str">
        <x:v>Log2 change</x:v>
      </x:c>
      <x:c r="E1" s="19" t="str">
        <x:v>Fold change</x:v>
      </x:c>
      <x:c r="F1" s="19" t="str">
        <x:v>Percent change</x:v>
      </x:c>
      <x:c r="G1" s="19" t="str">
        <x:v>Direction</x:v>
      </x:c>
      <x:c r="H1" s="19" t="str">
        <x:v>Time</x:v>
      </x:c>
      <x:c r="I1" s="19" t="str">
        <x:v>Comparison</x:v>
      </x:c>
      <x:c r="J1" s="19" t="str">
        <x:v>Evidence</x:v>
      </x:c>
      <x:c r="K1" s="19" t="str">
        <x:v>Source</x:v>
      </x:c>
    </x:row>
    <x:row r="2">
      <x:c r="A2" s="28" t="str">
        <x:v>ADAM10</x:v>
      </x:c>
      <x:c r="B2" s="29" t="str">
        <x:v>ADAM metallopeptidase domain 10</x:v>
      </x:c>
      <x:c r="C2" s="29" t="str">
        <x:v>ECM remodeling</x:v>
      </x:c>
      <x:c r="D2" s="46" t="n">
        <x:v>-0.14</x:v>
      </x:c>
      <x:c r="E2" s="46" t="n">
        <x:f>POWER(2,D2)</x:f>
        <x:v>0.9075191553171609</x:v>
      </x:c>
      <x:c r="F2" s="47" t="n">
        <x:f>E2-1</x:f>
        <x:v>-0.09248084468283913</x:v>
      </x:c>
      <x:c r="G2" s="29" t="str">
        <x:f>IF(D2&lt;0,"Down",IF(D2&gt;0,"Up","No change"))</x:f>
        <x:v>Down</x:v>
      </x:c>
      <x:c r="H2" s="29" t="n">
        <x:v>55</x:v>
      </x:c>
      <x:c r="I2" s="29" t="str">
        <x:v>Cilengitide treated vs control</x:v>
      </x:c>
      <x:c r="J2" s="29" t="str">
        <x:v>Reported</x:v>
      </x:c>
      <x:c r="K2" s="29" t="str">
        <x:v>Table 1</x:v>
      </x:c>
    </x:row>
    <x:row r="3">
      <x:c r="A3" s="28" t="str">
        <x:v>ADAM29</x:v>
      </x:c>
      <x:c r="B3" s="29" t="str">
        <x:v>ADAM metallopeptidase domain 29</x:v>
      </x:c>
      <x:c r="C3" s="29" t="str">
        <x:v>ECM remodeling</x:v>
      </x:c>
      <x:c r="D3" s="46" t="n">
        <x:v>-0.54</x:v>
      </x:c>
      <x:c r="E3" s="46" t="n">
        <x:f>POWER(2,D3)</x:f>
        <x:v>0.6877709090698718</x:v>
      </x:c>
      <x:c r="F3" s="47" t="n">
        <x:f>E3-1</x:f>
        <x:v>-0.3122290909301282</x:v>
      </x:c>
      <x:c r="G3" s="29" t="str">
        <x:f>IF(D3&lt;0,"Down",IF(D3&gt;0,"Up","No change"))</x:f>
        <x:v>Down</x:v>
      </x:c>
      <x:c r="H3" s="29" t="n">
        <x:v>55</x:v>
      </x:c>
      <x:c r="I3" s="29" t="str">
        <x:v>Cilengitide treated vs control</x:v>
      </x:c>
      <x:c r="J3" s="29" t="str">
        <x:v>Reported</x:v>
      </x:c>
      <x:c r="K3" s="29" t="str">
        <x:v>Table 1</x:v>
      </x:c>
    </x:row>
    <x:row r="4">
      <x:c r="A4" s="28" t="str">
        <x:v>ADAM3A</x:v>
      </x:c>
      <x:c r="B4" s="29" t="str">
        <x:v>ADAM metallopeptidase domain 3A</x:v>
      </x:c>
      <x:c r="C4" s="29" t="str">
        <x:v>ECM remodeling</x:v>
      </x:c>
      <x:c r="D4" s="46" t="n">
        <x:v>-0.41</x:v>
      </x:c>
      <x:c r="E4" s="46" t="n">
        <x:f>POWER(2,D4)</x:f>
        <x:v>0.7526233737055337</x:v>
      </x:c>
      <x:c r="F4" s="47" t="n">
        <x:f>E4-1</x:f>
        <x:v>-0.24737662629446633</x:v>
      </x:c>
      <x:c r="G4" s="29" t="str">
        <x:f>IF(D4&lt;0,"Down",IF(D4&gt;0,"Up","No change"))</x:f>
        <x:v>Down</x:v>
      </x:c>
      <x:c r="H4" s="29" t="n">
        <x:v>55</x:v>
      </x:c>
      <x:c r="I4" s="29" t="str">
        <x:v>Cilengitide treated vs control</x:v>
      </x:c>
      <x:c r="J4" s="29" t="str">
        <x:v>Reported</x:v>
      </x:c>
      <x:c r="K4" s="29" t="str">
        <x:v>Table 1</x:v>
      </x:c>
    </x:row>
    <x:row r="5">
      <x:c r="A5" s="28" t="str">
        <x:v>ADAM5</x:v>
      </x:c>
      <x:c r="B5" s="29" t="str">
        <x:v>ADAM metallopeptidase domain 5</x:v>
      </x:c>
      <x:c r="C5" s="29" t="str">
        <x:v>ECM remodeling</x:v>
      </x:c>
      <x:c r="D5" s="46" t="n">
        <x:v>-0.83</x:v>
      </x:c>
      <x:c r="E5" s="46" t="n">
        <x:f>POWER(2,D5)</x:f>
        <x:v>0.5625292423444047</x:v>
      </x:c>
      <x:c r="F5" s="47" t="n">
        <x:f>E5-1</x:f>
        <x:v>-0.4374707576555953</x:v>
      </x:c>
      <x:c r="G5" s="29" t="str">
        <x:f>IF(D5&lt;0,"Down",IF(D5&gt;0,"Up","No change"))</x:f>
        <x:v>Down</x:v>
      </x:c>
      <x:c r="H5" s="29" t="n">
        <x:v>55</x:v>
      </x:c>
      <x:c r="I5" s="29" t="str">
        <x:v>Cilengitide treated vs control</x:v>
      </x:c>
      <x:c r="J5" s="29" t="str">
        <x:v>Reported</x:v>
      </x:c>
      <x:c r="K5" s="29" t="str">
        <x:v>Table 1</x:v>
      </x:c>
    </x:row>
    <x:row r="6">
      <x:c r="A6" s="28" t="str">
        <x:v>ANGPT2</x:v>
      </x:c>
      <x:c r="B6" s="29" t="str">
        <x:v>Angiopoietin 2</x:v>
      </x:c>
      <x:c r="C6" s="29" t="str">
        <x:v>Angiogenesis</x:v>
      </x:c>
      <x:c r="D6" s="46" t="n">
        <x:v>-0.45</x:v>
      </x:c>
      <x:c r="E6" s="46" t="n">
        <x:f>POWER(2,D6)</x:f>
        <x:v>0.7320428479728127</x:v>
      </x:c>
      <x:c r="F6" s="47" t="n">
        <x:f>E6-1</x:f>
        <x:v>-0.2679571520271873</x:v>
      </x:c>
      <x:c r="G6" s="29" t="str">
        <x:f>IF(D6&lt;0,"Down",IF(D6&gt;0,"Up","No change"))</x:f>
        <x:v>Down</x:v>
      </x:c>
      <x:c r="H6" s="29" t="n">
        <x:v>55</x:v>
      </x:c>
      <x:c r="I6" s="29" t="str">
        <x:v>Cilengitide treated vs control</x:v>
      </x:c>
      <x:c r="J6" s="29" t="str">
        <x:v>Reported</x:v>
      </x:c>
      <x:c r="K6" s="29" t="str">
        <x:v>Table 1</x:v>
      </x:c>
    </x:row>
    <x:row r="7">
      <x:c r="A7" s="28" t="str">
        <x:v>BMP2</x:v>
      </x:c>
      <x:c r="B7" s="29" t="str">
        <x:v>Bone morphogenetic protein 2</x:v>
      </x:c>
      <x:c r="C7" s="29" t="str">
        <x:v>Osteoblastic activity</x:v>
      </x:c>
      <x:c r="D7" s="46" t="n">
        <x:v>0.28</x:v>
      </x:c>
      <x:c r="E7" s="46" t="n">
        <x:f>POWER(2,D7)</x:f>
        <x:v>1.214194884395047</x:v>
      </x:c>
      <x:c r="F7" s="47" t="n">
        <x:f>E7-1</x:f>
        <x:v>0.21419488439504697</x:v>
      </x:c>
      <x:c r="G7" s="29" t="str">
        <x:f>IF(D7&lt;0,"Down",IF(D7&gt;0,"Up","No change"))</x:f>
        <x:v>Up</x:v>
      </x:c>
      <x:c r="H7" s="29" t="n">
        <x:v>55</x:v>
      </x:c>
      <x:c r="I7" s="29" t="str">
        <x:v>Cilengitide treated vs control</x:v>
      </x:c>
      <x:c r="J7" s="29" t="str">
        <x:v>Reported</x:v>
      </x:c>
      <x:c r="K7" s="29" t="str">
        <x:v>Table 1</x:v>
      </x:c>
    </x:row>
    <x:row r="8">
      <x:c r="A8" s="28" t="str">
        <x:v>CD44</x:v>
      </x:c>
      <x:c r="B8" s="29" t="str">
        <x:v>CD44 molecule</x:v>
      </x:c>
      <x:c r="C8" s="29" t="str">
        <x:v>Cell adhesion</x:v>
      </x:c>
      <x:c r="D8" s="46" t="n">
        <x:v>-0.25</x:v>
      </x:c>
      <x:c r="E8" s="46" t="n">
        <x:f>POWER(2,D8)</x:f>
        <x:v>0.8408964152537145</x:v>
      </x:c>
      <x:c r="F8" s="47" t="n">
        <x:f>E8-1</x:f>
        <x:v>-0.1591035847462855</x:v>
      </x:c>
      <x:c r="G8" s="29" t="str">
        <x:f>IF(D8&lt;0,"Down",IF(D8&gt;0,"Up","No change"))</x:f>
        <x:v>Down</x:v>
      </x:c>
      <x:c r="H8" s="29" t="n">
        <x:v>55</x:v>
      </x:c>
      <x:c r="I8" s="29" t="str">
        <x:v>Cilengitide treated vs control</x:v>
      </x:c>
      <x:c r="J8" s="29" t="str">
        <x:v>Reported</x:v>
      </x:c>
      <x:c r="K8" s="29" t="str">
        <x:v>Table 1</x:v>
      </x:c>
    </x:row>
    <x:row r="9">
      <x:c r="A9" s="28" t="str">
        <x:v>CDH11</x:v>
      </x:c>
      <x:c r="B9" s="29" t="str">
        <x:v>Cadherin 11</x:v>
      </x:c>
      <x:c r="C9" s="29" t="str">
        <x:v>Endothelial adherens junctions</x:v>
      </x:c>
      <x:c r="D9" s="46" t="n">
        <x:v>-0.4</x:v>
      </x:c>
      <x:c r="E9" s="46" t="n">
        <x:f>POWER(2,D9)</x:f>
        <x:v>0.757858283255199</x:v>
      </x:c>
      <x:c r="F9" s="47" t="n">
        <x:f>E9-1</x:f>
        <x:v>-0.242141716744801</x:v>
      </x:c>
      <x:c r="G9" s="29" t="str">
        <x:f>IF(D9&lt;0,"Down",IF(D9&gt;0,"Up","No change"))</x:f>
        <x:v>Down</x:v>
      </x:c>
      <x:c r="H9" s="29" t="n">
        <x:v>55</x:v>
      </x:c>
      <x:c r="I9" s="29" t="str">
        <x:v>Cilengitide treated vs control</x:v>
      </x:c>
      <x:c r="J9" s="29" t="str">
        <x:v>Reported</x:v>
      </x:c>
      <x:c r="K9" s="29" t="str">
        <x:v>Table 1</x:v>
      </x:c>
    </x:row>
    <x:row r="10">
      <x:c r="A10" s="28" t="str">
        <x:v>CLDN18</x:v>
      </x:c>
      <x:c r="B10" s="29" t="str">
        <x:v>Claudin 18</x:v>
      </x:c>
      <x:c r="C10" s="29" t="str">
        <x:v>Endothelial tight junctions</x:v>
      </x:c>
      <x:c r="D10" s="46" t="n">
        <x:v>-0.64</x:v>
      </x:c>
      <x:c r="E10" s="46" t="n">
        <x:f>POWER(2,D10)</x:f>
        <x:v>0.6417129487814521</x:v>
      </x:c>
      <x:c r="F10" s="47" t="n">
        <x:f>E10-1</x:f>
        <x:v>-0.35828705121854787</x:v>
      </x:c>
      <x:c r="G10" s="29" t="str">
        <x:f>IF(D10&lt;0,"Down",IF(D10&gt;0,"Up","No change"))</x:f>
        <x:v>Down</x:v>
      </x:c>
      <x:c r="H10" s="29" t="n">
        <x:v>55</x:v>
      </x:c>
      <x:c r="I10" s="29" t="str">
        <x:v>Cilengitide treated vs control</x:v>
      </x:c>
      <x:c r="J10" s="29" t="str">
        <x:v>Reported</x:v>
      </x:c>
      <x:c r="K10" s="29" t="str">
        <x:v>Table 1</x:v>
      </x:c>
    </x:row>
    <x:row r="11">
      <x:c r="A11" s="28" t="str">
        <x:v>CLDN22</x:v>
      </x:c>
      <x:c r="B11" s="29" t="str">
        <x:v>Claudin 22</x:v>
      </x:c>
      <x:c r="C11" s="29" t="str">
        <x:v>Endothelial tight junctions</x:v>
      </x:c>
      <x:c r="D11" s="46" t="n">
        <x:v>-0.45</x:v>
      </x:c>
      <x:c r="E11" s="46" t="n">
        <x:f>POWER(2,D11)</x:f>
        <x:v>0.7320428479728127</x:v>
      </x:c>
      <x:c r="F11" s="47" t="n">
        <x:f>E11-1</x:f>
        <x:v>-0.2679571520271873</x:v>
      </x:c>
      <x:c r="G11" s="29" t="str">
        <x:f>IF(D11&lt;0,"Down",IF(D11&gt;0,"Up","No change"))</x:f>
        <x:v>Down</x:v>
      </x:c>
      <x:c r="H11" s="29" t="n">
        <x:v>55</x:v>
      </x:c>
      <x:c r="I11" s="29" t="str">
        <x:v>Cilengitide treated vs control</x:v>
      </x:c>
      <x:c r="J11" s="29" t="str">
        <x:v>Reported</x:v>
      </x:c>
      <x:c r="K11" s="29" t="str">
        <x:v>Table 1</x:v>
      </x:c>
    </x:row>
    <x:row r="12">
      <x:c r="A12" s="28" t="str">
        <x:v>COL4</x:v>
      </x:c>
      <x:c r="B12" s="29" t="str">
        <x:v>Collagen, type IV</x:v>
      </x:c>
      <x:c r="C12" s="29" t="str">
        <x:v>ECM remodeling</x:v>
      </x:c>
      <x:c r="D12" s="46" t="n">
        <x:v>-0.11</x:v>
      </x:c>
      <x:c r="E12" s="46" t="n">
        <x:f>POWER(2,D12)</x:f>
        <x:v>0.9265880618903709</x:v>
      </x:c>
      <x:c r="F12" s="47" t="n">
        <x:f>E12-1</x:f>
        <x:v>-0.0734119381096291</x:v>
      </x:c>
      <x:c r="G12" s="29" t="str">
        <x:f>IF(D12&lt;0,"Down",IF(D12&gt;0,"Up","No change"))</x:f>
        <x:v>Down</x:v>
      </x:c>
      <x:c r="H12" s="29" t="n">
        <x:v>55</x:v>
      </x:c>
      <x:c r="I12" s="29" t="str">
        <x:v>Cilengitide treated vs control</x:v>
      </x:c>
      <x:c r="J12" s="29" t="str">
        <x:v>Reported</x:v>
      </x:c>
      <x:c r="K12" s="29" t="str">
        <x:v>Table 1</x:v>
      </x:c>
    </x:row>
    <x:row r="13">
      <x:c r="A13" s="28" t="str">
        <x:v>COL6</x:v>
      </x:c>
      <x:c r="B13" s="29" t="str">
        <x:v>Collagen, type VI</x:v>
      </x:c>
      <x:c r="C13" s="29" t="str">
        <x:v>ECM remodeling</x:v>
      </x:c>
      <x:c r="D13" s="46" t="n">
        <x:v>-0.42</x:v>
      </x:c>
      <x:c r="E13" s="46" t="n">
        <x:f>POWER(2,D13)</x:f>
        <x:v>0.7474246243174693</x:v>
      </x:c>
      <x:c r="F13" s="47" t="n">
        <x:f>E13-1</x:f>
        <x:v>-0.25257537568253075</x:v>
      </x:c>
      <x:c r="G13" s="29" t="str">
        <x:f>IF(D13&lt;0,"Down",IF(D13&gt;0,"Up","No change"))</x:f>
        <x:v>Down</x:v>
      </x:c>
      <x:c r="H13" s="29" t="n">
        <x:v>55</x:v>
      </x:c>
      <x:c r="I13" s="29" t="str">
        <x:v>Cilengitide treated vs control</x:v>
      </x:c>
      <x:c r="J13" s="29" t="str">
        <x:v>Reported</x:v>
      </x:c>
      <x:c r="K13" s="29" t="str">
        <x:v>Table 1</x:v>
      </x:c>
    </x:row>
    <x:row r="14">
      <x:c r="A14" s="28" t="str">
        <x:v>CSF1</x:v>
      </x:c>
      <x:c r="B14" s="29" t="str">
        <x:v>Colony-stimulating factor 1</x:v>
      </x:c>
      <x:c r="C14" s="29" t="str">
        <x:v>Osteolysis</x:v>
      </x:c>
      <x:c r="D14" s="46" t="n">
        <x:v>-0.39</x:v>
      </x:c>
      <x:c r="E14" s="46" t="n">
        <x:f>POWER(2,D14)</x:f>
        <x:v>0.7631296044802796</x:v>
      </x:c>
      <x:c r="F14" s="47" t="n">
        <x:f>E14-1</x:f>
        <x:v>-0.23687039551972044</x:v>
      </x:c>
      <x:c r="G14" s="29" t="str">
        <x:f>IF(D14&lt;0,"Down",IF(D14&gt;0,"Up","No change"))</x:f>
        <x:v>Down</x:v>
      </x:c>
      <x:c r="H14" s="29" t="n">
        <x:v>55</x:v>
      </x:c>
      <x:c r="I14" s="29" t="str">
        <x:v>Cilengitide treated vs control</x:v>
      </x:c>
      <x:c r="J14" s="29" t="str">
        <x:v>Reported</x:v>
      </x:c>
      <x:c r="K14" s="29" t="str">
        <x:v>Table 1</x:v>
      </x:c>
    </x:row>
    <x:row r="15">
      <x:c r="A15" s="28" t="str">
        <x:v>CSF2</x:v>
      </x:c>
      <x:c r="B15" s="29" t="str">
        <x:v>Colony-stimulating factor 2</x:v>
      </x:c>
      <x:c r="C15" s="29" t="str">
        <x:v>Osteolysis</x:v>
      </x:c>
      <x:c r="D15" s="46" t="n">
        <x:v>-0.51</x:v>
      </x:c>
      <x:c r="E15" s="46" t="n">
        <x:f>POWER(2,D15)</x:f>
        <x:v>0.7022224378689986</x:v>
      </x:c>
      <x:c r="F15" s="47" t="n">
        <x:f>E15-1</x:f>
        <x:v>-0.29777756213100137</x:v>
      </x:c>
      <x:c r="G15" s="29" t="str">
        <x:f>IF(D15&lt;0,"Down",IF(D15&gt;0,"Up","No change"))</x:f>
        <x:v>Down</x:v>
      </x:c>
      <x:c r="H15" s="29" t="n">
        <x:v>55</x:v>
      </x:c>
      <x:c r="I15" s="29" t="str">
        <x:v>Cilengitide treated vs control</x:v>
      </x:c>
      <x:c r="J15" s="29" t="str">
        <x:v>Reported</x:v>
      </x:c>
      <x:c r="K15" s="29" t="str">
        <x:v>Table 1</x:v>
      </x:c>
    </x:row>
    <x:row r="16">
      <x:c r="A16" s="28" t="str">
        <x:v>CXCR4</x:v>
      </x:c>
      <x:c r="B16" s="29" t="str">
        <x:v>Chemokine (C-X-C motif) receptor 4</x:v>
      </x:c>
      <x:c r="C16" s="29" t="str">
        <x:v>Osteolysis; metastatic breast-cancer progression</x:v>
      </x:c>
      <x:c r="D16" s="46" t="n">
        <x:v>-0.64</x:v>
      </x:c>
      <x:c r="E16" s="46" t="n">
        <x:f>POWER(2,D16)</x:f>
        <x:v>0.6417129487814521</x:v>
      </x:c>
      <x:c r="F16" s="47" t="n">
        <x:f>E16-1</x:f>
        <x:v>-0.35828705121854787</x:v>
      </x:c>
      <x:c r="G16" s="29" t="str">
        <x:f>IF(D16&lt;0,"Down",IF(D16&gt;0,"Up","No change"))</x:f>
        <x:v>Down</x:v>
      </x:c>
      <x:c r="H16" s="29" t="n">
        <x:v>55</x:v>
      </x:c>
      <x:c r="I16" s="29" t="str">
        <x:v>Cilengitide treated vs control</x:v>
      </x:c>
      <x:c r="J16" s="29" t="str">
        <x:v>Reported</x:v>
      </x:c>
      <x:c r="K16" s="29" t="str">
        <x:v>Table 1</x:v>
      </x:c>
    </x:row>
    <x:row r="17">
      <x:c r="A17" s="28" t="str">
        <x:v>EGF</x:v>
      </x:c>
      <x:c r="B17" s="29" t="str">
        <x:v>Epidermal growth factor</x:v>
      </x:c>
      <x:c r="C17" s="29" t="str">
        <x:v>Osteolysis / osteoblastic activity</x:v>
      </x:c>
      <x:c r="D17" s="46" t="n">
        <x:v>-0.33</x:v>
      </x:c>
      <x:c r="E17" s="46" t="n">
        <x:f>POWER(2,D17)</x:f>
        <x:v>0.7955364837549187</x:v>
      </x:c>
      <x:c r="F17" s="47" t="n">
        <x:f>E17-1</x:f>
        <x:v>-0.2044635162450813</x:v>
      </x:c>
      <x:c r="G17" s="29" t="str">
        <x:f>IF(D17&lt;0,"Down",IF(D17&gt;0,"Up","No change"))</x:f>
        <x:v>Down</x:v>
      </x:c>
      <x:c r="H17" s="29" t="n">
        <x:v>55</x:v>
      </x:c>
      <x:c r="I17" s="29" t="str">
        <x:v>Cilengitide treated vs control</x:v>
      </x:c>
      <x:c r="J17" s="29" t="str">
        <x:v>Reported</x:v>
      </x:c>
      <x:c r="K17" s="29" t="str">
        <x:v>Table 1</x:v>
      </x:c>
    </x:row>
    <x:row r="18">
      <x:c r="A18" s="28" t="str">
        <x:v>EGFR</x:v>
      </x:c>
      <x:c r="B18" s="29" t="str">
        <x:v>Epidermal growth factor receptor</x:v>
      </x:c>
      <x:c r="C18" s="29" t="str">
        <x:v>Metastatic breast-cancer progression</x:v>
      </x:c>
      <x:c r="D18" s="46" t="n">
        <x:v>0.14</x:v>
      </x:c>
      <x:c r="E18" s="46" t="n">
        <x:f>POWER(2,D18)</x:f>
        <x:v>1.1019051158766107</x:v>
      </x:c>
      <x:c r="F18" s="47" t="n">
        <x:f>E18-1</x:f>
        <x:v>0.10190511587661066</x:v>
      </x:c>
      <x:c r="G18" s="29" t="str">
        <x:f>IF(D18&lt;0,"Down",IF(D18&gt;0,"Up","No change"))</x:f>
        <x:v>Up</x:v>
      </x:c>
      <x:c r="H18" s="29" t="n">
        <x:v>55</x:v>
      </x:c>
      <x:c r="I18" s="29" t="str">
        <x:v>Cilengitide treated vs control</x:v>
      </x:c>
      <x:c r="J18" s="29" t="str">
        <x:v>Reported</x:v>
      </x:c>
      <x:c r="K18" s="29" t="str">
        <x:v>Table 1</x:v>
      </x:c>
    </x:row>
    <x:row r="19">
      <x:c r="A19" s="28" t="str">
        <x:v>FGF5</x:v>
      </x:c>
      <x:c r="B19" s="29" t="str">
        <x:v>Fibroblast growth factor 5</x:v>
      </x:c>
      <x:c r="C19" s="29" t="str">
        <x:v>Osteolysis</x:v>
      </x:c>
      <x:c r="D19" s="46" t="n">
        <x:v>-0.42</x:v>
      </x:c>
      <x:c r="E19" s="46" t="n">
        <x:f>POWER(2,D19)</x:f>
        <x:v>0.7474246243174693</x:v>
      </x:c>
      <x:c r="F19" s="47" t="n">
        <x:f>E19-1</x:f>
        <x:v>-0.25257537568253075</x:v>
      </x:c>
      <x:c r="G19" s="29" t="str">
        <x:f>IF(D19&lt;0,"Down",IF(D19&gt;0,"Up","No change"))</x:f>
        <x:v>Down</x:v>
      </x:c>
      <x:c r="H19" s="29" t="n">
        <x:v>55</x:v>
      </x:c>
      <x:c r="I19" s="29" t="str">
        <x:v>Cilengitide treated vs control</x:v>
      </x:c>
      <x:c r="J19" s="29" t="str">
        <x:v>Reported</x:v>
      </x:c>
      <x:c r="K19" s="29" t="str">
        <x:v>Table 1</x:v>
      </x:c>
    </x:row>
    <x:row r="20">
      <x:c r="A20" s="28" t="str">
        <x:v>GLUT1</x:v>
      </x:c>
      <x:c r="B20" s="29" t="str">
        <x:v>Glucose transporter 1</x:v>
      </x:c>
      <x:c r="C20" s="29" t="str">
        <x:v>Glucose transport</x:v>
      </x:c>
      <x:c r="D20" s="46" t="n">
        <x:v>-0.34</x:v>
      </x:c>
      <x:c r="E20" s="46" t="n">
        <x:f>POWER(2,D20)</x:f>
        <x:v>0.7900413118633771</x:v>
      </x:c>
      <x:c r="F20" s="47" t="n">
        <x:f>E20-1</x:f>
        <x:v>-0.20995868813662288</x:v>
      </x:c>
      <x:c r="G20" s="29" t="str">
        <x:f>IF(D20&lt;0,"Down",IF(D20&gt;0,"Up","No change"))</x:f>
        <x:v>Down</x:v>
      </x:c>
      <x:c r="H20" s="29" t="n">
        <x:v>55</x:v>
      </x:c>
      <x:c r="I20" s="29" t="str">
        <x:v>Cilengitide treated vs control</x:v>
      </x:c>
      <x:c r="J20" s="29" t="str">
        <x:v>Reported</x:v>
      </x:c>
      <x:c r="K20" s="29" t="str">
        <x:v>Table 1</x:v>
      </x:c>
    </x:row>
    <x:row r="21">
      <x:c r="A21" s="28" t="str">
        <x:v>HIF1AN</x:v>
      </x:c>
      <x:c r="B21" s="29" t="str">
        <x:v>Hypoxia inducible factor 1 alpha inhibitor</x:v>
      </x:c>
      <x:c r="C21" s="29" t="str">
        <x:v>Angiogenesis</x:v>
      </x:c>
      <x:c r="D21" s="46" t="n">
        <x:v>0.38</x:v>
      </x:c>
      <x:c r="E21" s="46" t="n">
        <x:f>POWER(2,D21)</x:f>
        <x:v>1.3013418554419336</x:v>
      </x:c>
      <x:c r="F21" s="47" t="n">
        <x:f>E21-1</x:f>
        <x:v>0.3013418554419336</x:v>
      </x:c>
      <x:c r="G21" s="29" t="str">
        <x:f>IF(D21&lt;0,"Down",IF(D21&gt;0,"Up","No change"))</x:f>
        <x:v>Up</x:v>
      </x:c>
      <x:c r="H21" s="29" t="n">
        <x:v>55</x:v>
      </x:c>
      <x:c r="I21" s="29" t="str">
        <x:v>Cilengitide treated vs control</x:v>
      </x:c>
      <x:c r="J21" s="29" t="str">
        <x:v>Reported</x:v>
      </x:c>
      <x:c r="K21" s="29" t="str">
        <x:v>Table 1</x:v>
      </x:c>
    </x:row>
    <x:row r="22">
      <x:c r="A22" s="28" t="str">
        <x:v>HK1</x:v>
      </x:c>
      <x:c r="B22" s="29" t="str">
        <x:v>Hexokinase 1</x:v>
      </x:c>
      <x:c r="C22" s="29" t="str">
        <x:v>Glucose transport</x:v>
      </x:c>
      <x:c r="D22" s="46" t="n">
        <x:v>-0.14</x:v>
      </x:c>
      <x:c r="E22" s="46" t="n">
        <x:f>POWER(2,D22)</x:f>
        <x:v>0.9075191553171609</x:v>
      </x:c>
      <x:c r="F22" s="47" t="n">
        <x:f>E22-1</x:f>
        <x:v>-0.09248084468283913</x:v>
      </x:c>
      <x:c r="G22" s="29" t="str">
        <x:f>IF(D22&lt;0,"Down",IF(D22&gt;0,"Up","No change"))</x:f>
        <x:v>Down</x:v>
      </x:c>
      <x:c r="H22" s="29" t="n">
        <x:v>55</x:v>
      </x:c>
      <x:c r="I22" s="29" t="str">
        <x:v>Cilengitide treated vs control</x:v>
      </x:c>
      <x:c r="J22" s="29" t="str">
        <x:v>Reported</x:v>
      </x:c>
      <x:c r="K22" s="29" t="str">
        <x:v>Table 1</x:v>
      </x:c>
    </x:row>
    <x:row r="23">
      <x:c r="A23" s="28" t="str">
        <x:v>HK3</x:v>
      </x:c>
      <x:c r="B23" s="29" t="str">
        <x:v>Hexokinase 3</x:v>
      </x:c>
      <x:c r="C23" s="29" t="str">
        <x:v>Glucose transport</x:v>
      </x:c>
      <x:c r="D23" s="46" t="n">
        <x:v>-0.34</x:v>
      </x:c>
      <x:c r="E23" s="46" t="n">
        <x:f>POWER(2,D23)</x:f>
        <x:v>0.7900413118633771</x:v>
      </x:c>
      <x:c r="F23" s="47" t="n">
        <x:f>E23-1</x:f>
        <x:v>-0.20995868813662288</x:v>
      </x:c>
      <x:c r="G23" s="29" t="str">
        <x:f>IF(D23&lt;0,"Down",IF(D23&gt;0,"Up","No change"))</x:f>
        <x:v>Down</x:v>
      </x:c>
      <x:c r="H23" s="29" t="n">
        <x:v>55</x:v>
      </x:c>
      <x:c r="I23" s="29" t="str">
        <x:v>Cilengitide treated vs control</x:v>
      </x:c>
      <x:c r="J23" s="29" t="str">
        <x:v>Reported</x:v>
      </x:c>
      <x:c r="K23" s="29" t="str">
        <x:v>Table 1</x:v>
      </x:c>
    </x:row>
    <x:row r="24">
      <x:c r="A24" s="28" t="str">
        <x:v>IGF</x:v>
      </x:c>
      <x:c r="B24" s="29" t="str">
        <x:v>Insulin-like growth factor</x:v>
      </x:c>
      <x:c r="C24" s="29" t="str">
        <x:v>Osteolysis / osteoblastic activity</x:v>
      </x:c>
      <x:c r="D24" s="46" t="n">
        <x:v>-0.59</x:v>
      </x:c>
      <x:c r="E24" s="46" t="n">
        <x:f>POWER(2,D24)</x:f>
        <x:v>0.6643429070482558</x:v>
      </x:c>
      <x:c r="F24" s="47" t="n">
        <x:f>E24-1</x:f>
        <x:v>-0.3356570929517442</x:v>
      </x:c>
      <x:c r="G24" s="29" t="str">
        <x:f>IF(D24&lt;0,"Down",IF(D24&gt;0,"Up","No change"))</x:f>
        <x:v>Down</x:v>
      </x:c>
      <x:c r="H24" s="29" t="n">
        <x:v>55</x:v>
      </x:c>
      <x:c r="I24" s="29" t="str">
        <x:v>Cilengitide treated vs control</x:v>
      </x:c>
      <x:c r="J24" s="29" t="str">
        <x:v>Reported</x:v>
      </x:c>
      <x:c r="K24" s="29" t="str">
        <x:v>Table 1</x:v>
      </x:c>
    </x:row>
    <x:row r="25">
      <x:c r="A25" s="28" t="str">
        <x:v>IGF1</x:v>
      </x:c>
      <x:c r="B25" s="29" t="str">
        <x:v>Insulin growth factor 1</x:v>
      </x:c>
      <x:c r="C25" s="29" t="str">
        <x:v>Osteolysis / osteoblastic activity</x:v>
      </x:c>
      <x:c r="D25" s="46" t="n">
        <x:v>-0.37</x:v>
      </x:c>
      <x:c r="E25" s="46" t="n">
        <x:f>POWER(2,D25)</x:f>
        <x:v>0.7737824967711949</x:v>
      </x:c>
      <x:c r="F25" s="47" t="n">
        <x:f>E25-1</x:f>
        <x:v>-0.22621750322880507</x:v>
      </x:c>
      <x:c r="G25" s="29" t="str">
        <x:f>IF(D25&lt;0,"Down",IF(D25&gt;0,"Up","No change"))</x:f>
        <x:v>Down</x:v>
      </x:c>
      <x:c r="H25" s="29" t="n">
        <x:v>55</x:v>
      </x:c>
      <x:c r="I25" s="29" t="str">
        <x:v>Cilengitide treated vs control</x:v>
      </x:c>
      <x:c r="J25" s="29" t="str">
        <x:v>Reported</x:v>
      </x:c>
      <x:c r="K25" s="29" t="str">
        <x:v>Table 1</x:v>
      </x:c>
    </x:row>
    <x:row r="26">
      <x:c r="A26" s="28" t="str">
        <x:v>IL1</x:v>
      </x:c>
      <x:c r="B26" s="29" t="str">
        <x:v>Interleukin 1</x:v>
      </x:c>
      <x:c r="C26" s="29" t="str">
        <x:v>Osteolysis / osteoblastic activity</x:v>
      </x:c>
      <x:c r="D26" s="46" t="n">
        <x:v>-0.4</x:v>
      </x:c>
      <x:c r="E26" s="46" t="n">
        <x:f>POWER(2,D26)</x:f>
        <x:v>0.757858283255199</x:v>
      </x:c>
      <x:c r="F26" s="47" t="n">
        <x:f>E26-1</x:f>
        <x:v>-0.242141716744801</x:v>
      </x:c>
      <x:c r="G26" s="29" t="str">
        <x:f>IF(D26&lt;0,"Down",IF(D26&gt;0,"Up","No change"))</x:f>
        <x:v>Down</x:v>
      </x:c>
      <x:c r="H26" s="29" t="n">
        <x:v>55</x:v>
      </x:c>
      <x:c r="I26" s="29" t="str">
        <x:v>Cilengitide treated vs control</x:v>
      </x:c>
      <x:c r="J26" s="29" t="str">
        <x:v>Reported</x:v>
      </x:c>
      <x:c r="K26" s="29" t="str">
        <x:v>Table 1</x:v>
      </x:c>
    </x:row>
    <x:row r="27">
      <x:c r="A27" s="28" t="str">
        <x:v>IL2</x:v>
      </x:c>
      <x:c r="B27" s="29" t="str">
        <x:v>Interleukin 2</x:v>
      </x:c>
      <x:c r="C27" s="29" t="str">
        <x:v>Metastatic breast-cancer progression</x:v>
      </x:c>
      <x:c r="D27" s="46" t="n">
        <x:v>-0.63</x:v>
      </x:c>
      <x:c r="E27" s="46" t="n">
        <x:f>POWER(2,D27)</x:f>
        <x:v>0.6461764153187461</x:v>
      </x:c>
      <x:c r="F27" s="47" t="n">
        <x:f>E27-1</x:f>
        <x:v>-0.35382358468125386</x:v>
      </x:c>
      <x:c r="G27" s="29" t="str">
        <x:f>IF(D27&lt;0,"Down",IF(D27&gt;0,"Up","No change"))</x:f>
        <x:v>Down</x:v>
      </x:c>
      <x:c r="H27" s="29" t="n">
        <x:v>55</x:v>
      </x:c>
      <x:c r="I27" s="29" t="str">
        <x:v>Cilengitide treated vs control</x:v>
      </x:c>
      <x:c r="J27" s="29" t="str">
        <x:v>Reported</x:v>
      </x:c>
      <x:c r="K27" s="29" t="str">
        <x:v>Table 1</x:v>
      </x:c>
    </x:row>
    <x:row r="28">
      <x:c r="A28" s="28" t="str">
        <x:v>IL6</x:v>
      </x:c>
      <x:c r="B28" s="29" t="str">
        <x:v>Interleukin 6</x:v>
      </x:c>
      <x:c r="C28" s="29" t="str">
        <x:v>Osteolysis</x:v>
      </x:c>
      <x:c r="D28" s="46" t="n">
        <x:v>-0.52</x:v>
      </x:c>
      <x:c r="E28" s="46" t="n">
        <x:f>POWER(2,D28)</x:f>
        <x:v>0.6973718331752027</x:v>
      </x:c>
      <x:c r="F28" s="47" t="n">
        <x:f>E28-1</x:f>
        <x:v>-0.3026281668247973</x:v>
      </x:c>
      <x:c r="G28" s="29" t="str">
        <x:f>IF(D28&lt;0,"Down",IF(D28&gt;0,"Up","No change"))</x:f>
        <x:v>Down</x:v>
      </x:c>
      <x:c r="H28" s="29" t="n">
        <x:v>55</x:v>
      </x:c>
      <x:c r="I28" s="29" t="str">
        <x:v>Cilengitide treated vs control</x:v>
      </x:c>
      <x:c r="J28" s="29" t="str">
        <x:v>Reported</x:v>
      </x:c>
      <x:c r="K28" s="29" t="str">
        <x:v>Table 1</x:v>
      </x:c>
    </x:row>
    <x:row r="29">
      <x:c r="A29" s="28" t="str">
        <x:v>IL10</x:v>
      </x:c>
      <x:c r="B29" s="29" t="str">
        <x:v>Interleukin 10</x:v>
      </x:c>
      <x:c r="C29" s="29" t="str">
        <x:v>Metastatic breast-cancer progression</x:v>
      </x:c>
      <x:c r="D29" s="46" t="n">
        <x:v>-0.51</x:v>
      </x:c>
      <x:c r="E29" s="46" t="n">
        <x:f>POWER(2,D29)</x:f>
        <x:v>0.7022224378689986</x:v>
      </x:c>
      <x:c r="F29" s="47" t="n">
        <x:f>E29-1</x:f>
        <x:v>-0.29777756213100137</x:v>
      </x:c>
      <x:c r="G29" s="29" t="str">
        <x:f>IF(D29&lt;0,"Down",IF(D29&gt;0,"Up","No change"))</x:f>
        <x:v>Down</x:v>
      </x:c>
      <x:c r="H29" s="29" t="n">
        <x:v>55</x:v>
      </x:c>
      <x:c r="I29" s="29" t="str">
        <x:v>Cilengitide treated vs control</x:v>
      </x:c>
      <x:c r="J29" s="29" t="str">
        <x:v>Reported</x:v>
      </x:c>
      <x:c r="K29" s="29" t="str">
        <x:v>Table 1</x:v>
      </x:c>
    </x:row>
    <x:row r="30">
      <x:c r="A30" s="28" t="str">
        <x:v>ITGA5</x:v>
      </x:c>
      <x:c r="B30" s="29" t="str">
        <x:v>Integrin alpha 5</x:v>
      </x:c>
      <x:c r="C30" s="29" t="str">
        <x:v>Angiogenesis</x:v>
      </x:c>
      <x:c r="D30" s="46" t="n">
        <x:v>-0.35</x:v>
      </x:c>
      <x:c r="E30" s="46" t="n">
        <x:f>POWER(2,D30)</x:f>
        <x:v>0.7845840978967508</x:v>
      </x:c>
      <x:c r="F30" s="47" t="n">
        <x:f>E30-1</x:f>
        <x:v>-0.21541590210324923</x:v>
      </x:c>
      <x:c r="G30" s="29" t="str">
        <x:f>IF(D30&lt;0,"Down",IF(D30&gt;0,"Up","No change"))</x:f>
        <x:v>Down</x:v>
      </x:c>
      <x:c r="H30" s="29" t="n">
        <x:v>55</x:v>
      </x:c>
      <x:c r="I30" s="29" t="str">
        <x:v>Cilengitide treated vs control</x:v>
      </x:c>
      <x:c r="J30" s="29" t="str">
        <x:v>Reported</x:v>
      </x:c>
      <x:c r="K30" s="29" t="str">
        <x:v>Table 1</x:v>
      </x:c>
    </x:row>
    <x:row r="31">
      <x:c r="A31" s="28" t="str">
        <x:v>ITGAV</x:v>
      </x:c>
      <x:c r="B31" s="29" t="str">
        <x:v>Integrin alpha v</x:v>
      </x:c>
      <x:c r="C31" s="29" t="str">
        <x:v>Cell adhesion; angiogenesis</x:v>
      </x:c>
      <x:c r="D31" s="46" t="n">
        <x:v>-0.55</x:v>
      </x:c>
      <x:c r="E31" s="46" t="n">
        <x:f>POWER(2,D31)</x:f>
        <x:v>0.6830201283771977</x:v>
      </x:c>
      <x:c r="F31" s="47" t="n">
        <x:f>E31-1</x:f>
        <x:v>-0.3169798716228023</x:v>
      </x:c>
      <x:c r="G31" s="29" t="str">
        <x:f>IF(D31&lt;0,"Down",IF(D31&gt;0,"Up","No change"))</x:f>
        <x:v>Down</x:v>
      </x:c>
      <x:c r="H31" s="29" t="n">
        <x:v>55</x:v>
      </x:c>
      <x:c r="I31" s="29" t="str">
        <x:v>Cilengitide treated vs control</x:v>
      </x:c>
      <x:c r="J31" s="29" t="str">
        <x:v>Reported</x:v>
      </x:c>
      <x:c r="K31" s="29" t="str">
        <x:v>Table 1</x:v>
      </x:c>
    </x:row>
    <x:row r="32">
      <x:c r="A32" s="28" t="str">
        <x:v>ITGB3</x:v>
      </x:c>
      <x:c r="B32" s="29" t="str">
        <x:v>Integrin beta 3</x:v>
      </x:c>
      <x:c r="C32" s="29" t="str">
        <x:v>Cell adhesion; angiogenesis; osteolysis</x:v>
      </x:c>
      <x:c r="D32" s="46" t="n">
        <x:v>-0.64</x:v>
      </x:c>
      <x:c r="E32" s="46" t="n">
        <x:f>POWER(2,D32)</x:f>
        <x:v>0.6417129487814521</x:v>
      </x:c>
      <x:c r="F32" s="47" t="n">
        <x:f>E32-1</x:f>
        <x:v>-0.35828705121854787</x:v>
      </x:c>
      <x:c r="G32" s="29" t="str">
        <x:f>IF(D32&lt;0,"Down",IF(D32&gt;0,"Up","No change"))</x:f>
        <x:v>Down</x:v>
      </x:c>
      <x:c r="H32" s="29" t="n">
        <x:v>55</x:v>
      </x:c>
      <x:c r="I32" s="29" t="str">
        <x:v>Cilengitide treated vs control</x:v>
      </x:c>
      <x:c r="J32" s="29" t="str">
        <x:v>Reported</x:v>
      </x:c>
      <x:c r="K32" s="29" t="str">
        <x:v>Table 1</x:v>
      </x:c>
    </x:row>
    <x:row r="33">
      <x:c r="A33" s="28" t="str">
        <x:v>ITGB5</x:v>
      </x:c>
      <x:c r="B33" s="29" t="str">
        <x:v>Integrin beta 5</x:v>
      </x:c>
      <x:c r="C33" s="29" t="str">
        <x:v>Cell adhesion; angiogenesis</x:v>
      </x:c>
      <x:c r="D33" s="46" t="n">
        <x:v>-0.4</x:v>
      </x:c>
      <x:c r="E33" s="46" t="n">
        <x:f>POWER(2,D33)</x:f>
        <x:v>0.757858283255199</x:v>
      </x:c>
      <x:c r="F33" s="47" t="n">
        <x:f>E33-1</x:f>
        <x:v>-0.242141716744801</x:v>
      </x:c>
      <x:c r="G33" s="29" t="str">
        <x:f>IF(D33&lt;0,"Down",IF(D33&gt;0,"Up","No change"))</x:f>
        <x:v>Down</x:v>
      </x:c>
      <x:c r="H33" s="29" t="n">
        <x:v>55</x:v>
      </x:c>
      <x:c r="I33" s="29" t="str">
        <x:v>Cilengitide treated vs control</x:v>
      </x:c>
      <x:c r="J33" s="29" t="str">
        <x:v>Reported</x:v>
      </x:c>
      <x:c r="K33" s="29" t="str">
        <x:v>Table 1</x:v>
      </x:c>
    </x:row>
    <x:row r="34">
      <x:c r="A34" s="28" t="str">
        <x:v>MMP11</x:v>
      </x:c>
      <x:c r="B34" s="29" t="str">
        <x:v>Matrix metalloproteinase 11</x:v>
      </x:c>
      <x:c r="C34" s="29" t="str">
        <x:v>ECM remodeling</x:v>
      </x:c>
      <x:c r="D34" s="46" t="n">
        <x:v>0.41</x:v>
      </x:c>
      <x:c r="E34" s="46" t="n">
        <x:f>POWER(2,D34)</x:f>
        <x:v>1.3286858140965117</x:v>
      </x:c>
      <x:c r="F34" s="47" t="n">
        <x:f>E34-1</x:f>
        <x:v>0.32868581409651165</x:v>
      </x:c>
      <x:c r="G34" s="29" t="str">
        <x:f>IF(D34&lt;0,"Down",IF(D34&gt;0,"Up","No change"))</x:f>
        <x:v>Up</x:v>
      </x:c>
      <x:c r="H34" s="29" t="n">
        <x:v>55</x:v>
      </x:c>
      <x:c r="I34" s="29" t="str">
        <x:v>Cilengitide treated vs control</x:v>
      </x:c>
      <x:c r="J34" s="29" t="str">
        <x:v>Reported</x:v>
      </x:c>
      <x:c r="K34" s="29" t="str">
        <x:v>Table 1</x:v>
      </x:c>
    </x:row>
    <x:row r="35">
      <x:c r="A35" s="28" t="str">
        <x:v>MMP14</x:v>
      </x:c>
      <x:c r="B35" s="29" t="str">
        <x:v>Matrix metalloproteinase 14</x:v>
      </x:c>
      <x:c r="C35" s="29" t="str">
        <x:v>ECM remodeling</x:v>
      </x:c>
      <x:c r="D35" s="46" t="n">
        <x:v>0.25</x:v>
      </x:c>
      <x:c r="E35" s="46" t="n">
        <x:f>POWER(2,D35)</x:f>
        <x:v>1.189207115002721</x:v>
      </x:c>
      <x:c r="F35" s="47" t="n">
        <x:f>E35-1</x:f>
        <x:v>0.18920711500272103</x:v>
      </x:c>
      <x:c r="G35" s="29" t="str">
        <x:f>IF(D35&lt;0,"Down",IF(D35&gt;0,"Up","No change"))</x:f>
        <x:v>Up</x:v>
      </x:c>
      <x:c r="H35" s="29" t="n">
        <x:v>55</x:v>
      </x:c>
      <x:c r="I35" s="29" t="str">
        <x:v>Cilengitide treated vs control</x:v>
      </x:c>
      <x:c r="J35" s="29" t="str">
        <x:v>Reported</x:v>
      </x:c>
      <x:c r="K35" s="29" t="str">
        <x:v>Table 1</x:v>
      </x:c>
    </x:row>
    <x:row r="36">
      <x:c r="A36" s="28" t="str">
        <x:v>MMP26</x:v>
      </x:c>
      <x:c r="B36" s="29" t="str">
        <x:v>Matrix metalloproteinase 26</x:v>
      </x:c>
      <x:c r="C36" s="29" t="str">
        <x:v>ECM remodeling</x:v>
      </x:c>
      <x:c r="D36" s="46" t="n">
        <x:v>-0.45</x:v>
      </x:c>
      <x:c r="E36" s="46" t="n">
        <x:f>POWER(2,D36)</x:f>
        <x:v>0.7320428479728127</x:v>
      </x:c>
      <x:c r="F36" s="47" t="n">
        <x:f>E36-1</x:f>
        <x:v>-0.2679571520271873</x:v>
      </x:c>
      <x:c r="G36" s="29" t="str">
        <x:f>IF(D36&lt;0,"Down",IF(D36&gt;0,"Up","No change"))</x:f>
        <x:v>Down</x:v>
      </x:c>
      <x:c r="H36" s="29" t="n">
        <x:v>55</x:v>
      </x:c>
      <x:c r="I36" s="29" t="str">
        <x:v>Cilengitide treated vs control</x:v>
      </x:c>
      <x:c r="J36" s="29" t="str">
        <x:v>Reported</x:v>
      </x:c>
      <x:c r="K36" s="29" t="str">
        <x:v>Table 1</x:v>
      </x:c>
    </x:row>
    <x:row r="37">
      <x:c r="A37" s="28" t="str">
        <x:v>PDGFB</x:v>
      </x:c>
      <x:c r="B37" s="29" t="str">
        <x:v>Platelet-derived growth factor beta</x:v>
      </x:c>
      <x:c r="C37" s="29" t="str">
        <x:v>Angiogenesis</x:v>
      </x:c>
      <x:c r="D37" s="46" t="n">
        <x:v>-0.33</x:v>
      </x:c>
      <x:c r="E37" s="46" t="n">
        <x:f>POWER(2,D37)</x:f>
        <x:v>0.7955364837549187</x:v>
      </x:c>
      <x:c r="F37" s="47" t="n">
        <x:f>E37-1</x:f>
        <x:v>-0.2044635162450813</x:v>
      </x:c>
      <x:c r="G37" s="29" t="str">
        <x:f>IF(D37&lt;0,"Down",IF(D37&gt;0,"Up","No change"))</x:f>
        <x:v>Down</x:v>
      </x:c>
      <x:c r="H37" s="29" t="n">
        <x:v>55</x:v>
      </x:c>
      <x:c r="I37" s="29" t="str">
        <x:v>Cilengitide treated vs control</x:v>
      </x:c>
      <x:c r="J37" s="29" t="str">
        <x:v>Reported</x:v>
      </x:c>
      <x:c r="K37" s="29" t="str">
        <x:v>Table 1</x:v>
      </x:c>
    </x:row>
    <x:row r="38">
      <x:c r="A38" s="28" t="str">
        <x:v>PTHrP</x:v>
      </x:c>
      <x:c r="B38" s="29" t="str">
        <x:v>Parathyroid hormone-related peptide</x:v>
      </x:c>
      <x:c r="C38" s="29" t="str">
        <x:v>Osteolysis / osteoblastic metastasis</x:v>
      </x:c>
      <x:c r="D38" s="46" t="n">
        <x:v>-0.73</x:v>
      </x:c>
      <x:c r="E38" s="46" t="n">
        <x:f>POWER(2,D38)</x:f>
        <x:v>0.6029039138453802</x:v>
      </x:c>
      <x:c r="F38" s="47" t="n">
        <x:f>E38-1</x:f>
        <x:v>-0.3970960861546198</x:v>
      </x:c>
      <x:c r="G38" s="29" t="str">
        <x:f>IF(D38&lt;0,"Down",IF(D38&gt;0,"Up","No change"))</x:f>
        <x:v>Down</x:v>
      </x:c>
      <x:c r="H38" s="29" t="n">
        <x:v>55</x:v>
      </x:c>
      <x:c r="I38" s="29" t="str">
        <x:v>Cilengitide treated vs control</x:v>
      </x:c>
      <x:c r="J38" s="29" t="str">
        <x:v>Reported</x:v>
      </x:c>
      <x:c r="K38" s="29" t="str">
        <x:v>Table 1</x:v>
      </x:c>
    </x:row>
    <x:row r="39">
      <x:c r="A39" s="28" t="str">
        <x:v>RANKL</x:v>
      </x:c>
      <x:c r="B39" s="29" t="str">
        <x:v>Receptor activator of NF-kB ligand</x:v>
      </x:c>
      <x:c r="C39" s="29" t="str">
        <x:v>Osteolysis</x:v>
      </x:c>
      <x:c r="D39" s="46" t="n">
        <x:v>-1.28</x:v>
      </x:c>
      <x:c r="E39" s="46" t="n">
        <x:f>POWER(2,D39)</x:f>
        <x:v>0.41179550863378656</x:v>
      </x:c>
      <x:c r="F39" s="47" t="n">
        <x:f>E39-1</x:f>
        <x:v>-0.5882044913662134</x:v>
      </x:c>
      <x:c r="G39" s="29" t="str">
        <x:f>IF(D39&lt;0,"Down",IF(D39&gt;0,"Up","No change"))</x:f>
        <x:v>Down</x:v>
      </x:c>
      <x:c r="H39" s="29" t="n">
        <x:v>55</x:v>
      </x:c>
      <x:c r="I39" s="29" t="str">
        <x:v>Cilengitide treated vs control</x:v>
      </x:c>
      <x:c r="J39" s="29" t="str">
        <x:v>Reported</x:v>
      </x:c>
      <x:c r="K39" s="29" t="str">
        <x:v>Table 1</x:v>
      </x:c>
    </x:row>
    <x:row r="40">
      <x:c r="A40" s="28" t="str">
        <x:v>ROBO2</x:v>
      </x:c>
      <x:c r="B40" s="29" t="str">
        <x:v>Roundabout homolog 2</x:v>
      </x:c>
      <x:c r="C40" s="29" t="str">
        <x:v>Angiogenesis</x:v>
      </x:c>
      <x:c r="D40" s="46" t="n">
        <x:v>-0.41</x:v>
      </x:c>
      <x:c r="E40" s="46" t="n">
        <x:f>POWER(2,D40)</x:f>
        <x:v>0.7526233737055337</x:v>
      </x:c>
      <x:c r="F40" s="47" t="n">
        <x:f>E40-1</x:f>
        <x:v>-0.24737662629446633</x:v>
      </x:c>
      <x:c r="G40" s="29" t="str">
        <x:f>IF(D40&lt;0,"Down",IF(D40&gt;0,"Up","No change"))</x:f>
        <x:v>Down</x:v>
      </x:c>
      <x:c r="H40" s="29" t="n">
        <x:v>55</x:v>
      </x:c>
      <x:c r="I40" s="29" t="str">
        <x:v>Cilengitide treated vs control</x:v>
      </x:c>
      <x:c r="J40" s="29" t="str">
        <x:v>Reported</x:v>
      </x:c>
      <x:c r="K40" s="29" t="str">
        <x:v>Table 1</x:v>
      </x:c>
    </x:row>
    <x:row r="41">
      <x:c r="A41" s="28" t="str">
        <x:v>TGFB3</x:v>
      </x:c>
      <x:c r="B41" s="29" t="str">
        <x:v>Transforming growth factor beta 3</x:v>
      </x:c>
      <x:c r="C41" s="29" t="str">
        <x:v>Osteolysis / osteoblastic activity</x:v>
      </x:c>
      <x:c r="D41" s="46" t="n">
        <x:v>0.41</x:v>
      </x:c>
      <x:c r="E41" s="46" t="n">
        <x:f>POWER(2,D41)</x:f>
        <x:v>1.3286858140965117</x:v>
      </x:c>
      <x:c r="F41" s="47" t="n">
        <x:f>E41-1</x:f>
        <x:v>0.32868581409651165</x:v>
      </x:c>
      <x:c r="G41" s="29" t="str">
        <x:f>IF(D41&lt;0,"Down",IF(D41&gt;0,"Up","No change"))</x:f>
        <x:v>Up</x:v>
      </x:c>
      <x:c r="H41" s="29" t="n">
        <x:v>55</x:v>
      </x:c>
      <x:c r="I41" s="29" t="str">
        <x:v>Cilengitide treated vs control</x:v>
      </x:c>
      <x:c r="J41" s="29" t="str">
        <x:v>Reported</x:v>
      </x:c>
      <x:c r="K41" s="29" t="str">
        <x:v>Table 1</x:v>
      </x:c>
    </x:row>
    <x:row r="42">
      <x:c r="A42" s="28" t="str">
        <x:v>TNFA</x:v>
      </x:c>
      <x:c r="B42" s="29" t="str">
        <x:v>Tumor necrosis factor alpha</x:v>
      </x:c>
      <x:c r="C42" s="29" t="str">
        <x:v>Osteolysis / osteoblastic activity</x:v>
      </x:c>
      <x:c r="D42" s="46" t="n">
        <x:v>0.54</x:v>
      </x:c>
      <x:c r="E42" s="46" t="n">
        <x:f>POWER(2,D42)</x:f>
        <x:v>1.4539725173203106</x:v>
      </x:c>
      <x:c r="F42" s="47" t="n">
        <x:f>E42-1</x:f>
        <x:v>0.45397251732031063</x:v>
      </x:c>
      <x:c r="G42" s="29" t="str">
        <x:f>IF(D42&lt;0,"Down",IF(D42&gt;0,"Up","No change"))</x:f>
        <x:v>Up</x:v>
      </x:c>
      <x:c r="H42" s="29" t="n">
        <x:v>55</x:v>
      </x:c>
      <x:c r="I42" s="29" t="str">
        <x:v>Cilengitide treated vs control</x:v>
      </x:c>
      <x:c r="J42" s="29" t="str">
        <x:v>Reported</x:v>
      </x:c>
      <x:c r="K42" s="29" t="str">
        <x:v>Table 1</x:v>
      </x:c>
    </x:row>
    <x:row r="43">
      <x:c r="A43" s="28" t="str">
        <x:v>TP53I11</x:v>
      </x:c>
      <x:c r="B43" s="29" t="str">
        <x:v>Tumor protein p53 inducible protein 11</x:v>
      </x:c>
      <x:c r="C43" s="29" t="str">
        <x:v>Angiogenic signaling</x:v>
      </x:c>
      <x:c r="D43" s="46" t="n">
        <x:v>-0.66</x:v>
      </x:c>
      <x:c r="E43" s="46" t="n">
        <x:f>POWER(2,D43)</x:f>
        <x:v>0.63287829698514</x:v>
      </x:c>
      <x:c r="F43" s="47" t="n">
        <x:f>E43-1</x:f>
        <x:v>-0.36712170301486</x:v>
      </x:c>
      <x:c r="G43" s="29" t="str">
        <x:f>IF(D43&lt;0,"Down",IF(D43&gt;0,"Up","No change"))</x:f>
        <x:v>Down</x:v>
      </x:c>
      <x:c r="H43" s="29" t="n">
        <x:v>55</x:v>
      </x:c>
      <x:c r="I43" s="29" t="str">
        <x:v>Cilengitide treated vs control</x:v>
      </x:c>
      <x:c r="J43" s="29" t="str">
        <x:v>Reported</x:v>
      </x:c>
      <x:c r="K43" s="29" t="str">
        <x:v>Table 1</x:v>
      </x:c>
    </x:row>
    <x:row r="44">
      <x:c r="A44" s="30" t="str">
        <x:v>VEGFA</x:v>
      </x:c>
      <x:c r="B44" s="31" t="str">
        <x:v>Vascular endothelial growth factor A</x:v>
      </x:c>
      <x:c r="C44" s="31" t="str">
        <x:v>Angiogenesis</x:v>
      </x:c>
      <x:c r="D44" s="48" t="n">
        <x:v>-0.33</x:v>
      </x:c>
      <x:c r="E44" s="48" t="n">
        <x:f>POWER(2,D44)</x:f>
        <x:v>0.7955364837549187</x:v>
      </x:c>
      <x:c r="F44" s="49" t="n">
        <x:f>E44-1</x:f>
        <x:v>-0.2044635162450813</x:v>
      </x:c>
      <x:c r="G44" s="31" t="str">
        <x:f>IF(D44&lt;0,"Down",IF(D44&gt;0,"Up","No change"))</x:f>
        <x:v>Down</x:v>
      </x:c>
      <x:c r="H44" s="31" t="n">
        <x:v>55</x:v>
      </x:c>
      <x:c r="I44" s="31" t="str">
        <x:v>Cilengitide treated vs control</x:v>
      </x:c>
      <x:c r="J44" s="31" t="str">
        <x:v>Reported</x:v>
      </x:c>
      <x:c r="K44" s="31" t="str">
        <x:v>Table 1</x:v>
      </x:c>
    </x:row>
  </x:sheetData>
  <x:conditionalFormatting sqref="G2:G44">
    <x:cfRule type="containsText" dxfId="0" priority="1" operator="containsText" text="Down"/>
    <x:cfRule type="containsText" dxfId="1" priority="2" operator="containsText" text="Up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42" hidden="0" customWidth="1"/>
    <x:col min="4" max="4" width="27" hidden="0" customWidth="1"/>
    <x:col min="5" max="5" width="20" hidden="0" customWidth="1"/>
    <x:col min="6" max="6" width="48" hidden="0" customWidth="1"/>
    <x:col min="7" max="7" width="18" hidden="0" customWidth="1"/>
    <x:col min="8" max="8" width="48" hidden="0" customWidth="1"/>
  </x:cols>
  <x:sheetData>
    <x:row r="1" ht="30" customHeight="1">
      <x:c r="A1" s="18" t="str">
        <x:v>Model layer</x:v>
      </x:c>
      <x:c r="B1" s="19" t="str">
        <x:v>State / observation</x:v>
      </x:c>
      <x:c r="C1" s="19" t="str">
        <x:v>Paper variable(s)</x:v>
      </x:c>
      <x:c r="D1" s="19" t="str">
        <x:v>Role</x:v>
      </x:c>
      <x:c r="E1" s="19" t="str">
        <x:v>Quantifiable here?</x:v>
      </x:c>
      <x:c r="F1" s="19" t="str">
        <x:v>Suggested mathematical use</x:v>
      </x:c>
      <x:c r="G1" s="19" t="str">
        <x:v>Priority</x:v>
      </x:c>
      <x:c r="H1" s="19" t="str">
        <x:v>Important caution</x:v>
      </x:c>
    </x:row>
    <x:row r="2">
      <x:c r="A2" s="28" t="str">
        <x:v>Target engagement</x:v>
      </x:c>
      <x:c r="B2" s="29" t="str">
        <x:v>Integrin inhibition</x:v>
      </x:c>
      <x:c r="C2" s="29" t="str">
        <x:v>alpha-v beta-3; alpha-v beta-5; ITGAV; ITGB3; ITGB5</x:v>
      </x:c>
      <x:c r="D2" s="29" t="str">
        <x:v>Drug-target driver</x:v>
      </x:c>
      <x:c r="E2" s="29" t="str">
        <x:v>Partial</x:v>
      </x:c>
      <x:c r="F2" s="29" t="str">
        <x:v>External PK + affinity -&gt; RO or Imax/Emax inhibition</x:v>
      </x:c>
      <x:c r="G2" s="29" t="str">
        <x:v>Essential</x:v>
      </x:c>
      <x:c r="H2" s="29" t="str">
        <x:v>Gene expression is not receptor occupancy</x:v>
      </x:c>
    </x:row>
    <x:row r="3">
      <x:c r="A3" s="28" t="str">
        <x:v>Vascular</x:v>
      </x:c>
      <x:c r="B3" s="29" t="str">
        <x:v>Vascular fraction</x:v>
      </x:c>
      <x:c r="C3" s="29" t="str">
        <x:v>VB</x:v>
      </x:c>
      <x:c r="D3" s="29" t="str">
        <x:v>Longitudinal PD observation</x:v>
      </x:c>
      <x:c r="E3" s="29" t="str">
        <x:v>Yes</x:v>
      </x:c>
      <x:c r="F3" s="29" t="str">
        <x:v>Turnover or indirect-response model driven by target inhibition</x:v>
      </x:c>
      <x:c r="G3" s="29" t="str">
        <x:v>Essential</x:v>
      </x:c>
      <x:c r="H3" s="29" t="str">
        <x:v>Earliest observed effect; figure-derived values</x:v>
      </x:c>
    </x:row>
    <x:row r="4">
      <x:c r="A4" s="28" t="str">
        <x:v>Vascular</x:v>
      </x:c>
      <x:c r="B4" s="29" t="str">
        <x:v>Angiogenic program</x:v>
      </x:c>
      <x:c r="C4" s="29" t="str">
        <x:v>VEGFA; ANGPT2; PDGFB; ITGAV; ITGB3; ITGB5</x:v>
      </x:c>
      <x:c r="D4" s="29" t="str">
        <x:v>Terminal mechanistic biomarkers</x:v>
      </x:c>
      <x:c r="E4" s="29" t="str">
        <x:v>Terminal only</x:v>
      </x:c>
      <x:c r="F4" s="29" t="str">
        <x:v>Steady-state pathway suppression or priors on effect direction</x:v>
      </x:c>
      <x:c r="G4" s="29" t="str">
        <x:v>High</x:v>
      </x:c>
      <x:c r="H4" s="29" t="str">
        <x:v>Single day-55 mRNA snapshot</x:v>
      </x:c>
    </x:row>
    <x:row r="5">
      <x:c r="A5" s="28" t="str">
        <x:v>Metabolic</x:v>
      </x:c>
      <x:c r="B5" s="29" t="str">
        <x:v>FDG transport</x:v>
      </x:c>
      <x:c r="C5" s="29" t="str">
        <x:v>k1; GLUT1</x:v>
      </x:c>
      <x:c r="D5" s="29" t="str">
        <x:v>Longitudinal functional biomarker</x:v>
      </x:c>
      <x:c r="E5" s="29" t="str">
        <x:v>Yes / partial</x:v>
      </x:c>
      <x:c r="F5" s="29" t="str">
        <x:v>Delayed turnover model; k1 as observation of latent transport state</x:v>
      </x:c>
      <x:c r="G5" s="29" t="str">
        <x:v>Essential</x:v>
      </x:c>
      <x:c r="H5" s="29" t="str">
        <x:v>k1 also depends on perfusion</x:v>
      </x:c>
    </x:row>
    <x:row r="6">
      <x:c r="A6" s="28" t="str">
        <x:v>Metabolic</x:v>
      </x:c>
      <x:c r="B6" s="29" t="str">
        <x:v>FDG phosphorylation</x:v>
      </x:c>
      <x:c r="C6" s="29" t="str">
        <x:v>k3; HK1; HK3</x:v>
      </x:c>
      <x:c r="D6" s="29" t="str">
        <x:v>Functional / molecular biomarker</x:v>
      </x:c>
      <x:c r="E6" s="29" t="str">
        <x:v>Yes / partial</x:v>
      </x:c>
      <x:c r="F6" s="29" t="str">
        <x:v>Observation model for glucose phosphorylation state</x:v>
      </x:c>
      <x:c r="G6" s="29" t="str">
        <x:v>Medium</x:v>
      </x:c>
      <x:c r="H6" s="29" t="str">
        <x:v>No significant treated longitudinal k3 change reported</x:v>
      </x:c>
    </x:row>
    <x:row r="7">
      <x:c r="A7" s="28" t="str">
        <x:v>Metabolic</x:v>
      </x:c>
      <x:c r="B7" s="29" t="str">
        <x:v>FDG dephosphorylation</x:v>
      </x:c>
      <x:c r="C7" s="29" t="str">
        <x:v>k4</x:v>
      </x:c>
      <x:c r="D7" s="29" t="str">
        <x:v>Longitudinal PD observation</x:v>
      </x:c>
      <x:c r="E7" s="29" t="str">
        <x:v>Yes</x:v>
      </x:c>
      <x:c r="F7" s="29" t="str">
        <x:v>Optional turnover observation</x:v>
      </x:c>
      <x:c r="G7" s="29" t="str">
        <x:v>Low</x:v>
      </x:c>
      <x:c r="H7" s="29" t="str">
        <x:v>Biological interpretation less direct than VB or k1</x:v>
      </x:c>
    </x:row>
    <x:row r="8">
      <x:c r="A8" s="28" t="str">
        <x:v>Bone microenvironment</x:v>
      </x:c>
      <x:c r="B8" s="29" t="str">
        <x:v>Osteoclast drive</x:v>
      </x:c>
      <x:c r="C8" s="29" t="str">
        <x:v>RANKL; PTHrP; IL1; IL6; CSF1/2</x:v>
      </x:c>
      <x:c r="D8" s="29" t="str">
        <x:v>Terminal mechanistic composite</x:v>
      </x:c>
      <x:c r="E8" s="29" t="str">
        <x:v>Terminal only</x:v>
      </x:c>
      <x:c r="F8" s="29" t="str">
        <x:v>Weighted latent osteolysis score or individual turnover states</x:v>
      </x:c>
      <x:c r="G8" s="29" t="str">
        <x:v>Essential</x:v>
      </x:c>
      <x:c r="H8" s="29" t="str">
        <x:v>Weights and protein kinetics require external data</x:v>
      </x:c>
    </x:row>
    <x:row r="9">
      <x:c r="A9" s="28" t="str">
        <x:v>Bone microenvironment</x:v>
      </x:c>
      <x:c r="B9" s="29" t="str">
        <x:v>Osteoblast / repair drive</x:v>
      </x:c>
      <x:c r="C9" s="29" t="str">
        <x:v>BMP2; TGFB3; TNFA</x:v>
      </x:c>
      <x:c r="D9" s="29" t="str">
        <x:v>Terminal counter-regulatory composite</x:v>
      </x:c>
      <x:c r="E9" s="29" t="str">
        <x:v>Terminal only</x:v>
      </x:c>
      <x:c r="F9" s="29" t="str">
        <x:v>Optional repair/remodelling state</x:v>
      </x:c>
      <x:c r="G9" s="29" t="str">
        <x:v>Medium</x:v>
      </x:c>
      <x:c r="H9" s="29" t="str">
        <x:v>TNFA biology is context-dependent</x:v>
      </x:c>
    </x:row>
    <x:row r="10">
      <x:c r="A10" s="28" t="str">
        <x:v>ECM / adhesion</x:v>
      </x:c>
      <x:c r="B10" s="29" t="str">
        <x:v>Remodelling and invasion</x:v>
      </x:c>
      <x:c r="C10" s="29" t="str">
        <x:v>CD44; ADAMs; MMPs; collagen; cadherin; claudin</x:v>
      </x:c>
      <x:c r="D10" s="29" t="str">
        <x:v>Mechanistic support</x:v>
      </x:c>
      <x:c r="E10" s="29" t="str">
        <x:v>Terminal only</x:v>
      </x:c>
      <x:c r="F10" s="29" t="str">
        <x:v>Optional secondary module</x:v>
      </x:c>
      <x:c r="G10" s="29" t="str">
        <x:v>Low</x:v>
      </x:c>
      <x:c r="H10" s="29" t="str">
        <x:v>Mixed directions; avoid one undifferentiated score</x:v>
      </x:c>
    </x:row>
    <x:row r="11">
      <x:c r="A11" s="28" t="str">
        <x:v>Tumor outcome</x:v>
      </x:c>
      <x:c r="B11" s="29" t="str">
        <x:v>Tumor / lesion burden</x:v>
      </x:c>
      <x:c r="C11" s="29" t="str">
        <x:v>Not numerically reported in this paper</x:v>
      </x:c>
      <x:c r="D11" s="29" t="str">
        <x:v>Disease endpoint</x:v>
      </x:c>
      <x:c r="E11" s="29" t="str">
        <x:v>No</x:v>
      </x:c>
      <x:c r="F11" s="29" t="str">
        <x:v>Growth-kill or tumor-growth-inhibition model</x:v>
      </x:c>
      <x:c r="G11" s="29" t="str">
        <x:v>Essential external</x:v>
      </x:c>
      <x:c r="H11" s="29" t="str">
        <x:v>Obtain longitudinal outcome from companion studies</x:v>
      </x:c>
    </x:row>
    <x:row r="12">
      <x:c r="A12" s="30" t="str">
        <x:v>Bone outcome</x:v>
      </x:c>
      <x:c r="B12" s="31" t="str">
        <x:v>Bone resorption / formation</x:v>
      </x:c>
      <x:c r="C12" s="31" t="str">
        <x:v>Not numerically reported in this paper</x:v>
      </x:c>
      <x:c r="D12" s="31" t="str">
        <x:v>Disease endpoint</x:v>
      </x:c>
      <x:c r="E12" s="31" t="str">
        <x:v>No</x:v>
      </x:c>
      <x:c r="F12" s="31" t="str">
        <x:v>Bone turnover or lesion model</x:v>
      </x:c>
      <x:c r="G12" s="31" t="str">
        <x:v>Essential external</x:v>
      </x:c>
      <x:c r="H12" s="31" t="str">
        <x:v>Obtain CT/MRI/histomorphometry from companion studies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42" hidden="0" customWidth="1"/>
    <x:col min="3" max="3" width="44" hidden="0" customWidth="1"/>
    <x:col min="4" max="4" width="50" hidden="0" customWidth="1"/>
    <x:col min="5" max="5" width="22" hidden="0" customWidth="1"/>
  </x:cols>
  <x:sheetData>
    <x:row r="1" ht="30" customHeight="1">
      <x:c r="A1" s="18" t="str">
        <x:v>Missing input</x:v>
      </x:c>
      <x:c r="B1" s="19" t="str">
        <x:v>Why needed</x:v>
      </x:c>
      <x:c r="C1" s="19" t="str">
        <x:v>Minimum acceptable source</x:v>
      </x:c>
      <x:c r="D1" s="19" t="str">
        <x:v>Recommended handling now</x:v>
      </x:c>
      <x:c r="E1" s="19" t="str">
        <x:v>Parameter status</x:v>
      </x:c>
    </x:row>
    <x:row r="2">
      <x:c r="A2" s="28" t="str">
        <x:v>Rat concentration-time profile at 25 mg/kg IP</x:v>
      </x:c>
      <x:c r="B2" s="29" t="str">
        <x:v>Connect existing PK/exposure to the paper regimen</x:v>
      </x:c>
      <x:c r="C2" s="29" t="str">
        <x:v>Cilengitide rat PK study or validated cross-study PK</x:v>
      </x:c>
      <x:c r="D2" s="29" t="str">
        <x:v>Input from separate PK model; align route, species, dose and schedule</x:v>
      </x:c>
      <x:c r="E2" s="29" t="str">
        <x:v>External</x:v>
      </x:c>
    </x:row>
    <x:row r="3">
      <x:c r="A3" s="28" t="str">
        <x:v>Free drug concentration / plasma binding</x:v>
      </x:c>
      <x:c r="B3" s="29" t="str">
        <x:v>Target-driving concentration</x:v>
      </x:c>
      <x:c r="C3" s="29" t="str">
        <x:v>Rat fu or justified surrogate</x:v>
      </x:c>
      <x:c r="D3" s="29" t="str">
        <x:v>Sensitivity analysis if unavailable</x:v>
      </x:c>
      <x:c r="E3" s="29" t="str">
        <x:v>External</x:v>
      </x:c>
    </x:row>
    <x:row r="4">
      <x:c r="A4" s="28" t="str">
        <x:v>Bone-metastasis penetration</x:v>
      </x:c>
      <x:c r="B4" s="29" t="str">
        <x:v>Effect-site exposure</x:v>
      </x:c>
      <x:c r="C4" s="29" t="str">
        <x:v>Tumor/bone Kp or effect-compartment delay</x:v>
      </x:c>
      <x:c r="D4" s="29" t="str">
        <x:v>Use estimated Ke0 with wide uncertainty; label assumed</x:v>
      </x:c>
      <x:c r="E4" s="29" t="str">
        <x:v>External / assumed</x:v>
      </x:c>
    </x:row>
    <x:row r="5">
      <x:c r="A5" s="28" t="str">
        <x:v>alpha-v beta-3 and alpha-v beta-5 affinity or IC50</x:v>
      </x:c>
      <x:c r="B5" s="29" t="str">
        <x:v>Target inhibition curve</x:v>
      </x:c>
      <x:c r="C5" s="29" t="str">
        <x:v>Biochemical/cellular potency under relevant assay</x:v>
      </x:c>
      <x:c r="D5" s="29" t="str">
        <x:v>Use target-specific values; do not combine both targets blindly</x:v>
      </x:c>
      <x:c r="E5" s="29" t="str">
        <x:v>External</x:v>
      </x:c>
    </x:row>
    <x:row r="6">
      <x:c r="A6" s="28" t="str">
        <x:v>Proximal signaling time course</x:v>
      </x:c>
      <x:c r="B6" s="29" t="str">
        <x:v>Identify cascade kinetics</x:v>
      </x:c>
      <x:c r="C6" s="29" t="str">
        <x:v>pFAK/pSRC/AKT/ERK dose-time experiment</x:v>
      </x:c>
      <x:c r="D6" s="29" t="str">
        <x:v>Use reduced latent pathway state if absent</x:v>
      </x:c>
      <x:c r="E6" s="29" t="str">
        <x:v>External</x:v>
      </x:c>
    </x:row>
    <x:row r="7">
      <x:c r="A7" s="28" t="str">
        <x:v>Protein biomarker time course</x:v>
      </x:c>
      <x:c r="B7" s="29" t="str">
        <x:v>Translate mRNA to active biology</x:v>
      </x:c>
      <x:c r="C7" s="29" t="str">
        <x:v>VEGF, RANKL, GLUT1/HK protein or activity</x:v>
      </x:c>
      <x:c r="D7" s="29" t="str">
        <x:v>Treat transcript changes as terminal calibration targets only</x:v>
      </x:c>
      <x:c r="E7" s="29" t="str">
        <x:v>External</x:v>
      </x:c>
    </x:row>
    <x:row r="8">
      <x:c r="A8" s="28" t="str">
        <x:v>Longitudinal tumor/lesion burden</x:v>
      </x:c>
      <x:c r="B8" s="29" t="str">
        <x:v>Estimate growth and drug effect</x:v>
      </x:c>
      <x:c r="C8" s="29" t="str">
        <x:v>VCT/MRI/lesion volume from companion cilengitide studies</x:v>
      </x:c>
      <x:c r="D8" s="29" t="str">
        <x:v>Do not estimate tumor kill from PET alone</x:v>
      </x:c>
      <x:c r="E8" s="29" t="str">
        <x:v>External essential</x:v>
      </x:c>
    </x:row>
    <x:row r="9">
      <x:c r="A9" s="28" t="str">
        <x:v>Bone turnover endpoint</x:v>
      </x:c>
      <x:c r="B9" s="29" t="str">
        <x:v>Estimate osteolysis/remodelling effect</x:v>
      </x:c>
      <x:c r="C9" s="29" t="str">
        <x:v>Osteoclast counts, CT lesion, BMD, TRAP or histomorphometry</x:v>
      </x:c>
      <x:c r="D9" s="29" t="str">
        <x:v>Keep bone module biomarker-only until obtained</x:v>
      </x:c>
      <x:c r="E9" s="29" t="str">
        <x:v>External essential</x:v>
      </x:c>
    </x:row>
    <x:row r="10">
      <x:c r="A10" s="28" t="str">
        <x:v>Individual-animal PET values</x:v>
      </x:c>
      <x:c r="B10" s="29" t="str">
        <x:v>Residual variability and VPC</x:v>
      </x:c>
      <x:c r="C10" s="29" t="str">
        <x:v>Raw study data</x:v>
      </x:c>
      <x:c r="D10" s="29" t="str">
        <x:v>Use digitized mean +/- SE only for aggregate fitting; avoid pseudo-individuals</x:v>
      </x:c>
      <x:c r="E10" s="29" t="str">
        <x:v>Unavailable</x:v>
      </x:c>
    </x:row>
    <x:row r="11">
      <x:c r="A11" s="28" t="str">
        <x:v>Gene-expression SE / individual values</x:v>
      </x:c>
      <x:c r="B11" s="29" t="str">
        <x:v>Weight terminal transcript endpoints</x:v>
      </x:c>
      <x:c r="C11" s="29" t="str">
        <x:v>Raw array values</x:v>
      </x:c>
      <x:c r="D11" s="29" t="str">
        <x:v>Do not invent SE; use directional/relative calibration</x:v>
      </x:c>
      <x:c r="E11" s="29" t="str">
        <x:v>Unavailable</x:v>
      </x:c>
    </x:row>
    <x:row r="12">
      <x:c r="A12" s="30" t="str">
        <x:v>Control disease progression before day 30</x:v>
      </x:c>
      <x:c r="B12" s="31" t="str">
        <x:v>Separate natural history from treatment</x:v>
      </x:c>
      <x:c r="C12" s="31" t="str">
        <x:v>Untreated longitudinal biomarker/outcome series</x:v>
      </x:c>
      <x:c r="D12" s="31" t="str">
        <x:v>Control PET exists only at days 30/35/55; outcome still required</x:v>
      </x:c>
      <x:c r="E12" s="31" t="str">
        <x:v>Partial</x:v>
      </x:c>
    </x:row>
  </x:sheetData>
  <x:conditionalFormatting sqref="E2:E12">
    <x:cfRule type="containsText" dxfId="2" priority="1" operator="containsText" text="External"/>
  </x:conditionalFormatting>
  <x:pageMargins left="0.7" right="0.7" top="0.75" bottom="0.75" header="0.3" footer="0.3"/>
</x:worksheet>
</file>